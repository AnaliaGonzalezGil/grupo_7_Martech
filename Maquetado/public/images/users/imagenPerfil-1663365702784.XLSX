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chmann\Documents\Z0 Brasil\"/>
    </mc:Choice>
  </mc:AlternateContent>
  <xr:revisionPtr revIDLastSave="0" documentId="13_ncr:1_{10FD9193-1EFB-4EFC-953F-E6916255D7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</calcChain>
</file>

<file path=xl/sharedStrings.xml><?xml version="1.0" encoding="utf-8"?>
<sst xmlns="http://schemas.openxmlformats.org/spreadsheetml/2006/main" count="4541" uniqueCount="2273">
  <si>
    <t>0000000000000000</t>
  </si>
  <si>
    <t>DR</t>
  </si>
  <si>
    <t>8002509195</t>
  </si>
  <si>
    <t>POLIMPORT COMERCIO E EXPORTAÇÃO</t>
  </si>
  <si>
    <t/>
  </si>
  <si>
    <t>BRL</t>
  </si>
  <si>
    <t>0063t000011kugqAAA</t>
  </si>
  <si>
    <t>93118809</t>
  </si>
  <si>
    <t>2807667</t>
  </si>
  <si>
    <t>7500000657</t>
  </si>
  <si>
    <t>120101</t>
  </si>
  <si>
    <t>0093275051</t>
  </si>
  <si>
    <t>DG</t>
  </si>
  <si>
    <t>8004500735</t>
  </si>
  <si>
    <t>SAMSUNG ELETRONICA DA AMAZONIA LTDA</t>
  </si>
  <si>
    <t>0063t000012Yi2yAAC</t>
  </si>
  <si>
    <t>93275051</t>
  </si>
  <si>
    <t>60239084</t>
  </si>
  <si>
    <t>8498</t>
  </si>
  <si>
    <t>7500000843</t>
  </si>
  <si>
    <t>0092602721</t>
  </si>
  <si>
    <t>8004500651</t>
  </si>
  <si>
    <t>BUD COMERCIO DE ELETRODOMESTICOS</t>
  </si>
  <si>
    <t>0063t0000102CyKAAU</t>
  </si>
  <si>
    <t>92602721</t>
  </si>
  <si>
    <t>60191476</t>
  </si>
  <si>
    <t>NA</t>
  </si>
  <si>
    <t>7500000566</t>
  </si>
  <si>
    <t>8002508848</t>
  </si>
  <si>
    <t>LG ELETRONICS DO BRASIL LTDA</t>
  </si>
  <si>
    <t>0063t000011kLFVAA2</t>
  </si>
  <si>
    <t>92802471</t>
  </si>
  <si>
    <t>2656424</t>
  </si>
  <si>
    <t>7500000575</t>
  </si>
  <si>
    <t>8002508623</t>
  </si>
  <si>
    <t>0063t000011ixKEAAY</t>
  </si>
  <si>
    <t>92607521</t>
  </si>
  <si>
    <t>2533239</t>
  </si>
  <si>
    <t>n/a</t>
  </si>
  <si>
    <t>7500000550</t>
  </si>
  <si>
    <t>0093275057</t>
  </si>
  <si>
    <t>8004500737</t>
  </si>
  <si>
    <t>Multilaser Industrial SA</t>
  </si>
  <si>
    <t>0063t0000135ImHAAU</t>
  </si>
  <si>
    <t>93275057</t>
  </si>
  <si>
    <t>60239071</t>
  </si>
  <si>
    <t>7500000844</t>
  </si>
  <si>
    <t>8002508624</t>
  </si>
  <si>
    <t>0063t000011irsMAAQ</t>
  </si>
  <si>
    <t>92607522</t>
  </si>
  <si>
    <t>2533251</t>
  </si>
  <si>
    <t>7500000551</t>
  </si>
  <si>
    <t>8002509030</t>
  </si>
  <si>
    <t>Lenovo Comercial e Distribuição Lim</t>
  </si>
  <si>
    <t>0063t000011lJ6QAAU</t>
  </si>
  <si>
    <t>92913310</t>
  </si>
  <si>
    <t>2695488</t>
  </si>
  <si>
    <t>7500000607</t>
  </si>
  <si>
    <t>8002509148</t>
  </si>
  <si>
    <t>0063t000012Q1SJAA0</t>
  </si>
  <si>
    <t>93118760</t>
  </si>
  <si>
    <t>2807673</t>
  </si>
  <si>
    <t>7500000642</t>
  </si>
  <si>
    <t>8002508976</t>
  </si>
  <si>
    <t>JOHNSON &amp; JOHNSON DO BRASIL INDUSTR</t>
  </si>
  <si>
    <t>0063t000012Ou7WAAS</t>
  </si>
  <si>
    <t>92913203</t>
  </si>
  <si>
    <t>2694366</t>
  </si>
  <si>
    <t>7500000596</t>
  </si>
  <si>
    <t>8002509084</t>
  </si>
  <si>
    <t>0063t000012PAgnAAG</t>
  </si>
  <si>
    <t>93117078</t>
  </si>
  <si>
    <t>2806885</t>
  </si>
  <si>
    <t>171905</t>
  </si>
  <si>
    <t>7500000617</t>
  </si>
  <si>
    <t>0093118761</t>
  </si>
  <si>
    <t>8004500710</t>
  </si>
  <si>
    <t>0063t0000102D4hAAE</t>
  </si>
  <si>
    <t>93118761</t>
  </si>
  <si>
    <t>60233608</t>
  </si>
  <si>
    <t>Nestle | Dolce Gusto | Jul21</t>
  </si>
  <si>
    <t>7500000838</t>
  </si>
  <si>
    <t>8002509085</t>
  </si>
  <si>
    <t>RECKITT BENCKISER (BRASIL) COMERCIA</t>
  </si>
  <si>
    <t>0063t000012QPBNAA4</t>
  </si>
  <si>
    <t>93117112</t>
  </si>
  <si>
    <t>2806839</t>
  </si>
  <si>
    <t>8565A</t>
  </si>
  <si>
    <t>7500000618</t>
  </si>
  <si>
    <t>0092334878</t>
  </si>
  <si>
    <t>8004500608</t>
  </si>
  <si>
    <t>0063t00000zTDTEAA4</t>
  </si>
  <si>
    <t>92334878</t>
  </si>
  <si>
    <t>60190822</t>
  </si>
  <si>
    <t>N/A</t>
  </si>
  <si>
    <t>7500000563</t>
  </si>
  <si>
    <t>8002508144</t>
  </si>
  <si>
    <t>0063t0000104XAvAAM</t>
  </si>
  <si>
    <t>92481232</t>
  </si>
  <si>
    <t>2299758</t>
  </si>
  <si>
    <t>SEU GIL | SOFTYS| PADS | SET21</t>
  </si>
  <si>
    <t>7500000530</t>
  </si>
  <si>
    <t>8002509232</t>
  </si>
  <si>
    <t>0063t000012QP9qAAG</t>
  </si>
  <si>
    <t>93200640</t>
  </si>
  <si>
    <t>2865593</t>
  </si>
  <si>
    <t>8621</t>
  </si>
  <si>
    <t>7500000666</t>
  </si>
  <si>
    <t>8002509090</t>
  </si>
  <si>
    <t>Seagate Technology LLC</t>
  </si>
  <si>
    <t>0063t000011lBRHAA2</t>
  </si>
  <si>
    <t>93117201</t>
  </si>
  <si>
    <t>2806819</t>
  </si>
  <si>
    <t>7500000622</t>
  </si>
  <si>
    <t>8002508981</t>
  </si>
  <si>
    <t>0063t000011lD2NAAU</t>
  </si>
  <si>
    <t>92913208</t>
  </si>
  <si>
    <t>2694330</t>
  </si>
  <si>
    <t>7500000598</t>
  </si>
  <si>
    <t>8002508982</t>
  </si>
  <si>
    <t>0063t000011lBTIAA2</t>
  </si>
  <si>
    <t>92913209</t>
  </si>
  <si>
    <t>2694333</t>
  </si>
  <si>
    <t>7500000599</t>
  </si>
  <si>
    <t>8002508983</t>
  </si>
  <si>
    <t>0063t000011lBTJAA2</t>
  </si>
  <si>
    <t>92913210</t>
  </si>
  <si>
    <t>2694334</t>
  </si>
  <si>
    <t>7500000600</t>
  </si>
  <si>
    <t>8002509089</t>
  </si>
  <si>
    <t>0063t000011lD2cAAE</t>
  </si>
  <si>
    <t>93117200</t>
  </si>
  <si>
    <t>2806818</t>
  </si>
  <si>
    <t>7500000621</t>
  </si>
  <si>
    <t>DZ</t>
  </si>
  <si>
    <t>8003505307</t>
  </si>
  <si>
    <t>USD</t>
  </si>
  <si>
    <t>Cred diferença pagamentoEB 90000244075</t>
  </si>
  <si>
    <t>7500000835</t>
  </si>
  <si>
    <t>8002508980</t>
  </si>
  <si>
    <t>0063t000011lD1KAAU</t>
  </si>
  <si>
    <t>92913207</t>
  </si>
  <si>
    <t>2694324</t>
  </si>
  <si>
    <t>7500000597</t>
  </si>
  <si>
    <t>8002509088</t>
  </si>
  <si>
    <t>0063t000011lD1oAAE</t>
  </si>
  <si>
    <t>93117199</t>
  </si>
  <si>
    <t>2806817</t>
  </si>
  <si>
    <t>7500000620</t>
  </si>
  <si>
    <t>8002509087</t>
  </si>
  <si>
    <t>0063t000011lBS2AAM</t>
  </si>
  <si>
    <t>93117198</t>
  </si>
  <si>
    <t>2806816</t>
  </si>
  <si>
    <t>7500000619</t>
  </si>
  <si>
    <t>8002508755</t>
  </si>
  <si>
    <t>0063t000011jdK1AAI</t>
  </si>
  <si>
    <t>92795953</t>
  </si>
  <si>
    <t>2626757</t>
  </si>
  <si>
    <t>7500000568</t>
  </si>
  <si>
    <t>8002508984</t>
  </si>
  <si>
    <t>0063t000011lBQiAAM</t>
  </si>
  <si>
    <t>92913211</t>
  </si>
  <si>
    <t>2694337</t>
  </si>
  <si>
    <t>7500000601</t>
  </si>
  <si>
    <t>0092701612</t>
  </si>
  <si>
    <t>8004500655</t>
  </si>
  <si>
    <t>DIAGEO BRASIL LTDA</t>
  </si>
  <si>
    <t>0063t000011kJSxAAM</t>
  </si>
  <si>
    <t>92701612</t>
  </si>
  <si>
    <t>60191750</t>
  </si>
  <si>
    <t>7500000567</t>
  </si>
  <si>
    <t>8002508628</t>
  </si>
  <si>
    <t>0063t000011iVqxAAE</t>
  </si>
  <si>
    <t>92607526</t>
  </si>
  <si>
    <t>2533272</t>
  </si>
  <si>
    <t>(GOLD) | Diageo | BF | Nov21</t>
  </si>
  <si>
    <t>7500000552</t>
  </si>
  <si>
    <t>8002509092</t>
  </si>
  <si>
    <t>0063t000011kuVKAAY</t>
  </si>
  <si>
    <t>93117289</t>
  </si>
  <si>
    <t>2806852</t>
  </si>
  <si>
    <t>687725687725; 686800; 686140;686138;688248;688247;</t>
  </si>
  <si>
    <t>7500000623</t>
  </si>
  <si>
    <t>8002509077</t>
  </si>
  <si>
    <t>0063t000012QFKGAA4</t>
  </si>
  <si>
    <t>92992108</t>
  </si>
  <si>
    <t>2706648</t>
  </si>
  <si>
    <t>DIAGEO | JBP | JUN21</t>
  </si>
  <si>
    <t>7500000616</t>
  </si>
  <si>
    <t>8002509234</t>
  </si>
  <si>
    <t>0063t000012QKenAAG</t>
  </si>
  <si>
    <t>93200642</t>
  </si>
  <si>
    <t>2865598</t>
  </si>
  <si>
    <t>686137, 689063</t>
  </si>
  <si>
    <t>7500000668</t>
  </si>
  <si>
    <t>0093282964</t>
  </si>
  <si>
    <t>8004500772</t>
  </si>
  <si>
    <t>Pernod Ricard Brasil Ind. e Com. Lt</t>
  </si>
  <si>
    <t>0063t0000135fxiAAA</t>
  </si>
  <si>
    <t>93282964</t>
  </si>
  <si>
    <t>60239151</t>
  </si>
  <si>
    <t>7500000846</t>
  </si>
  <si>
    <t>8002508872</t>
  </si>
  <si>
    <t>0063t000011kobUAAQ</t>
  </si>
  <si>
    <t>92880452</t>
  </si>
  <si>
    <t>2666272</t>
  </si>
  <si>
    <t>7500000578</t>
  </si>
  <si>
    <t>8002509245</t>
  </si>
  <si>
    <t>LOREAL BRASIL COMERCIAL DE COSMETIC</t>
  </si>
  <si>
    <t>0063t000012XeqBAAS</t>
  </si>
  <si>
    <t>93200653</t>
  </si>
  <si>
    <t>2869564</t>
  </si>
  <si>
    <t>7500000670</t>
  </si>
  <si>
    <t>8002509095</t>
  </si>
  <si>
    <t>0063t000012QGI5AAO</t>
  </si>
  <si>
    <t>93117490</t>
  </si>
  <si>
    <t>2806840</t>
  </si>
  <si>
    <t>7500000624</t>
  </si>
  <si>
    <t>8002507710</t>
  </si>
  <si>
    <t>ELEGANCIA DISTRIBUIDORA DE COSMETIC</t>
  </si>
  <si>
    <t>0063t000010Uq0tAAC</t>
  </si>
  <si>
    <t>92375848</t>
  </si>
  <si>
    <t>2192015</t>
  </si>
  <si>
    <t>na</t>
  </si>
  <si>
    <t>7500000524</t>
  </si>
  <si>
    <t>8002508165</t>
  </si>
  <si>
    <t>0063t0000103YCAAA2</t>
  </si>
  <si>
    <t>92481253</t>
  </si>
  <si>
    <t>2299840</t>
  </si>
  <si>
    <t>7500000531</t>
  </si>
  <si>
    <t>8002507470</t>
  </si>
  <si>
    <t>0063t00000zTENgAAO</t>
  </si>
  <si>
    <t>92334896</t>
  </si>
  <si>
    <t>2138654</t>
  </si>
  <si>
    <t>7500000516</t>
  </si>
  <si>
    <t>8002507277</t>
  </si>
  <si>
    <t>0063t00000zSLhCAAW</t>
  </si>
  <si>
    <t>92289531</t>
  </si>
  <si>
    <t>2080541</t>
  </si>
  <si>
    <t>7500000514</t>
  </si>
  <si>
    <t>8002507276</t>
  </si>
  <si>
    <t>0063t00000zSLhHAAW</t>
  </si>
  <si>
    <t>92289530</t>
  </si>
  <si>
    <t>2080382</t>
  </si>
  <si>
    <t>7500000513</t>
  </si>
  <si>
    <t>8002508374</t>
  </si>
  <si>
    <t>MERCK SHARP &amp; DOHME SAUDE ANIMAL LT</t>
  </si>
  <si>
    <t>0063t000011ik7IAAQ</t>
  </si>
  <si>
    <t>92541587</t>
  </si>
  <si>
    <t>2343853</t>
  </si>
  <si>
    <t>BRAVECTO | PADS | OUT21</t>
  </si>
  <si>
    <t>7500000539</t>
  </si>
  <si>
    <t>8002509250</t>
  </si>
  <si>
    <t>FRESNOMAQ INDUSTRIA DE MAQUINAS S A</t>
  </si>
  <si>
    <t>0063t000012XSAOAA4</t>
  </si>
  <si>
    <t>93200658</t>
  </si>
  <si>
    <t>2865591</t>
  </si>
  <si>
    <t>7500000672</t>
  </si>
  <si>
    <t>8002509249</t>
  </si>
  <si>
    <t>0063t000012XRuUAAW</t>
  </si>
  <si>
    <t>93200657</t>
  </si>
  <si>
    <t>2865579</t>
  </si>
  <si>
    <t>7500000671</t>
  </si>
  <si>
    <t>8002506800</t>
  </si>
  <si>
    <t>PROCTER &amp; GAMBLE INDUSTRIAL</t>
  </si>
  <si>
    <t>0063t00000yDWO9AAO</t>
  </si>
  <si>
    <t>92125000</t>
  </si>
  <si>
    <t>1902139</t>
  </si>
  <si>
    <t>719.236</t>
  </si>
  <si>
    <t>7500000512</t>
  </si>
  <si>
    <t>8002509343</t>
  </si>
  <si>
    <t>Epson do Brasil Indústria</t>
  </si>
  <si>
    <t>0063t000011lQfqAAE</t>
  </si>
  <si>
    <t>93221733</t>
  </si>
  <si>
    <t>2892615</t>
  </si>
  <si>
    <t>7500000713</t>
  </si>
  <si>
    <t>8002508898</t>
  </si>
  <si>
    <t>ALLIED TECNOLOGIA S.A.</t>
  </si>
  <si>
    <t>0063t000011ktkXAAQ</t>
  </si>
  <si>
    <t>92880478</t>
  </si>
  <si>
    <t>2666282</t>
  </si>
  <si>
    <t>7500000581</t>
  </si>
  <si>
    <t>8002509011</t>
  </si>
  <si>
    <t>COMERCIO DE COMESTICOS PAIXAO PELA</t>
  </si>
  <si>
    <t>0063t000011mEhJAAU</t>
  </si>
  <si>
    <t>92913238</t>
  </si>
  <si>
    <t>2694390</t>
  </si>
  <si>
    <t>7500000604</t>
  </si>
  <si>
    <t>8002508899</t>
  </si>
  <si>
    <t>0063t000011kyBxAAI</t>
  </si>
  <si>
    <t>92880479</t>
  </si>
  <si>
    <t>2666288</t>
  </si>
  <si>
    <t>7500000582</t>
  </si>
  <si>
    <t>8002508395</t>
  </si>
  <si>
    <t>UNILEVER BRASIL LTDA</t>
  </si>
  <si>
    <t>0063t000011idgmAAA</t>
  </si>
  <si>
    <t>92541608</t>
  </si>
  <si>
    <t>2343844</t>
  </si>
  <si>
    <t>376.367</t>
  </si>
  <si>
    <t>7500000540</t>
  </si>
  <si>
    <t>8002508783</t>
  </si>
  <si>
    <t>0063t000011jj28AAA</t>
  </si>
  <si>
    <t>92795981</t>
  </si>
  <si>
    <t>2626745</t>
  </si>
  <si>
    <t>7500000569</t>
  </si>
  <si>
    <t>8002509261</t>
  </si>
  <si>
    <t>CERAS JOHNSON LTDA</t>
  </si>
  <si>
    <t>0063t000012XRk0AAG</t>
  </si>
  <si>
    <t>93200669</t>
  </si>
  <si>
    <t>2865583</t>
  </si>
  <si>
    <t>7500000680</t>
  </si>
  <si>
    <t>8002508739</t>
  </si>
  <si>
    <t>TP-link Tecnologia do Brasil LTDA</t>
  </si>
  <si>
    <t>0063t000011is2HAAQ</t>
  </si>
  <si>
    <t>92702659</t>
  </si>
  <si>
    <t>2566971</t>
  </si>
  <si>
    <t>7500000559</t>
  </si>
  <si>
    <t>8002509266</t>
  </si>
  <si>
    <t>Kimberly Clark Brasil Ind. e Com</t>
  </si>
  <si>
    <t>0063t000012Xno3AAC</t>
  </si>
  <si>
    <t>93200674</t>
  </si>
  <si>
    <t>2869568</t>
  </si>
  <si>
    <t>20220046400001001</t>
  </si>
  <si>
    <t>7500000682</t>
  </si>
  <si>
    <t>8002508789</t>
  </si>
  <si>
    <t>0063t000011jD3zAAE</t>
  </si>
  <si>
    <t>92795987</t>
  </si>
  <si>
    <t>2626788</t>
  </si>
  <si>
    <t>7500000570</t>
  </si>
  <si>
    <t>8002509268</t>
  </si>
  <si>
    <t>0063t000012XnoTAAS</t>
  </si>
  <si>
    <t>93200676</t>
  </si>
  <si>
    <t>2869572</t>
  </si>
  <si>
    <t>7500000684</t>
  </si>
  <si>
    <t>8002509267</t>
  </si>
  <si>
    <t>0063t000012XnoDAAS</t>
  </si>
  <si>
    <t>93200675</t>
  </si>
  <si>
    <t>2869571</t>
  </si>
  <si>
    <t>7500000683</t>
  </si>
  <si>
    <t>8002508687</t>
  </si>
  <si>
    <t>0063t000011j8aMAAQ</t>
  </si>
  <si>
    <t>92614258</t>
  </si>
  <si>
    <t>2545454</t>
  </si>
  <si>
    <t>7500000554</t>
  </si>
  <si>
    <t>8002509123</t>
  </si>
  <si>
    <t>0063t000012Q9DEAA0</t>
  </si>
  <si>
    <t>93117653</t>
  </si>
  <si>
    <t>2806825</t>
  </si>
  <si>
    <t>PI.2022.00464.00001.001</t>
  </si>
  <si>
    <t>7500000635</t>
  </si>
  <si>
    <t>8003504881</t>
  </si>
  <si>
    <t>HNK BR INDUSTRIA DE BEBIDAS LTDA.</t>
  </si>
  <si>
    <t>7500000560</t>
  </si>
  <si>
    <t>8002508907</t>
  </si>
  <si>
    <t>DANONE LTDA</t>
  </si>
  <si>
    <t>0063t000011koiBAAQ</t>
  </si>
  <si>
    <t>92880488</t>
  </si>
  <si>
    <t>2666285</t>
  </si>
  <si>
    <t>7500000583</t>
  </si>
  <si>
    <t>8004500788</t>
  </si>
  <si>
    <t>DIFERENÇA INTERCO EM 28.06.2022</t>
  </si>
  <si>
    <t>7500000850</t>
  </si>
  <si>
    <t>8002509130</t>
  </si>
  <si>
    <t>BDF NIVEA LTDA</t>
  </si>
  <si>
    <t>0063t000011l77NAAQ</t>
  </si>
  <si>
    <t>93117791</t>
  </si>
  <si>
    <t>2806844</t>
  </si>
  <si>
    <t>São duas IOs: 1) PI.2022.00336.00002.001 / 2) PI.2</t>
  </si>
  <si>
    <t>7500000638</t>
  </si>
  <si>
    <t>8002509129</t>
  </si>
  <si>
    <t>0063t000012QFS9AAO</t>
  </si>
  <si>
    <t>93117790</t>
  </si>
  <si>
    <t>2806841</t>
  </si>
  <si>
    <t>20220033600003003</t>
  </si>
  <si>
    <t>7500000637</t>
  </si>
  <si>
    <t>8002508731</t>
  </si>
  <si>
    <t>NESTLE BRASIL TDA</t>
  </si>
  <si>
    <t>0063t000011kKmAAAU</t>
  </si>
  <si>
    <t>92702626</t>
  </si>
  <si>
    <t>2555376</t>
  </si>
  <si>
    <t>7500000558</t>
  </si>
  <si>
    <t>8004500726</t>
  </si>
  <si>
    <t>Parte de pagamento do valor de 660k</t>
  </si>
  <si>
    <t>7500000841</t>
  </si>
  <si>
    <t>8002509277</t>
  </si>
  <si>
    <t>0063t000012XzZ2AAK</t>
  </si>
  <si>
    <t>93200685</t>
  </si>
  <si>
    <t>2886242</t>
  </si>
  <si>
    <t>7500000688</t>
  </si>
  <si>
    <t>8002508912</t>
  </si>
  <si>
    <t>0063t000011koaCAAQ</t>
  </si>
  <si>
    <t>92880493</t>
  </si>
  <si>
    <t>2666280</t>
  </si>
  <si>
    <t>NESTLÉ | EMPÓRIO | WMCCANN| Campanha Lacteos | Jan</t>
  </si>
  <si>
    <t>7500000584</t>
  </si>
  <si>
    <t>8002508858</t>
  </si>
  <si>
    <t>0063t000011lGi8AAE</t>
  </si>
  <si>
    <t>92802608</t>
  </si>
  <si>
    <t>2656474</t>
  </si>
  <si>
    <t>7500000577</t>
  </si>
  <si>
    <t>8002508798</t>
  </si>
  <si>
    <t>0063t000011k3UkAAI</t>
  </si>
  <si>
    <t>92795998</t>
  </si>
  <si>
    <t>2626797</t>
  </si>
  <si>
    <t>7500000571</t>
  </si>
  <si>
    <t>8002508421</t>
  </si>
  <si>
    <t>0063t000011iGHVAA2</t>
  </si>
  <si>
    <t>92541636</t>
  </si>
  <si>
    <t>2343869</t>
  </si>
  <si>
    <t>Nestlé | Natures Heart | Out21</t>
  </si>
  <si>
    <t>7500000542</t>
  </si>
  <si>
    <t>8002509284</t>
  </si>
  <si>
    <t>0063t000012XzYdAAK</t>
  </si>
  <si>
    <t>93200692</t>
  </si>
  <si>
    <t>2886250</t>
  </si>
  <si>
    <t>366196</t>
  </si>
  <si>
    <t>7500000690</t>
  </si>
  <si>
    <t>8004500732</t>
  </si>
  <si>
    <t>DIFERENÇA EB9000025448</t>
  </si>
  <si>
    <t>7500000842</t>
  </si>
  <si>
    <t>8002508420</t>
  </si>
  <si>
    <t>0063t000011iGF5AAM</t>
  </si>
  <si>
    <t>92541635</t>
  </si>
  <si>
    <t>2343865</t>
  </si>
  <si>
    <t>VITAL PROTEINS NESTLÉ | OUT21</t>
  </si>
  <si>
    <t>7500000541</t>
  </si>
  <si>
    <t>8002508197</t>
  </si>
  <si>
    <t>0063t0000103ojYAAQ</t>
  </si>
  <si>
    <t>92481288</t>
  </si>
  <si>
    <t>2299804</t>
  </si>
  <si>
    <t>VITAL PROTEINS NESTLÉ | SET21</t>
  </si>
  <si>
    <t>7500000532</t>
  </si>
  <si>
    <t>8002508422</t>
  </si>
  <si>
    <t>0063t000011iGHzAAM</t>
  </si>
  <si>
    <t>92541637</t>
  </si>
  <si>
    <t>2343875</t>
  </si>
  <si>
    <t>Nestlé | Health Science | Out21</t>
  </si>
  <si>
    <t>7500000543</t>
  </si>
  <si>
    <t>8002509280</t>
  </si>
  <si>
    <t>0063t000012YjpAAAS</t>
  </si>
  <si>
    <t>93200688</t>
  </si>
  <si>
    <t>2886246</t>
  </si>
  <si>
    <t>175567</t>
  </si>
  <si>
    <t>7500000689</t>
  </si>
  <si>
    <t>0092992123</t>
  </si>
  <si>
    <t>8004500706</t>
  </si>
  <si>
    <t>Sociedade Michelin de Participacoes</t>
  </si>
  <si>
    <t>0063t000011mHRHAA2</t>
  </si>
  <si>
    <t>92992123</t>
  </si>
  <si>
    <t>60233482</t>
  </si>
  <si>
    <t>4140140233</t>
  </si>
  <si>
    <t>7500000837</t>
  </si>
  <si>
    <t>8002509286</t>
  </si>
  <si>
    <t>0063t000012XLbmAAG</t>
  </si>
  <si>
    <t>93200694</t>
  </si>
  <si>
    <t>2873637</t>
  </si>
  <si>
    <t>7500000691</t>
  </si>
  <si>
    <t>8002508638</t>
  </si>
  <si>
    <t>0063t000011iv15AAA</t>
  </si>
  <si>
    <t>92607536</t>
  </si>
  <si>
    <t>2533257</t>
  </si>
  <si>
    <t>7500000553</t>
  </si>
  <si>
    <t>8002509024</t>
  </si>
  <si>
    <t>ITATIAIA MOVEIS S A</t>
  </si>
  <si>
    <t>0063t000011lISGAA2</t>
  </si>
  <si>
    <t>92913251</t>
  </si>
  <si>
    <t>2694421</t>
  </si>
  <si>
    <t>7500000605</t>
  </si>
  <si>
    <t>DIVERSOS</t>
  </si>
  <si>
    <t>8003504924</t>
  </si>
  <si>
    <t>CERVEJARIAS KAISER BRASIL S/A</t>
  </si>
  <si>
    <t>SALDO PAGO A MAIOR REF.10.12_8002508427</t>
  </si>
  <si>
    <t>7500000562</t>
  </si>
  <si>
    <t>8002508918</t>
  </si>
  <si>
    <t>Hershey do Brasil Ltda.</t>
  </si>
  <si>
    <t>0063t000011lGnqAAE</t>
  </si>
  <si>
    <t>92880499</t>
  </si>
  <si>
    <t>2666323</t>
  </si>
  <si>
    <t>7500000586</t>
  </si>
  <si>
    <t>8002509026</t>
  </si>
  <si>
    <t>0063t000011lGdRAAU</t>
  </si>
  <si>
    <t>92913253</t>
  </si>
  <si>
    <t>2694416</t>
  </si>
  <si>
    <t>7500000606</t>
  </si>
  <si>
    <t>8002509162</t>
  </si>
  <si>
    <t>0063t000011lGe0AAE</t>
  </si>
  <si>
    <t>93118775</t>
  </si>
  <si>
    <t>2807681</t>
  </si>
  <si>
    <t>7500000644</t>
  </si>
  <si>
    <t>8002509291</t>
  </si>
  <si>
    <t>0063t000012XQD4AAO</t>
  </si>
  <si>
    <t>93200699</t>
  </si>
  <si>
    <t>2865594</t>
  </si>
  <si>
    <t>7500000692</t>
  </si>
  <si>
    <t>8002508917</t>
  </si>
  <si>
    <t>0063t000011lQZEAA2</t>
  </si>
  <si>
    <t>92880498</t>
  </si>
  <si>
    <t>2666316</t>
  </si>
  <si>
    <t>7500000585</t>
  </si>
  <si>
    <t>8002508920</t>
  </si>
  <si>
    <t>INTERFOOD IMPORTACAO LTDA.</t>
  </si>
  <si>
    <t>0063t000011kunEAAQ</t>
  </si>
  <si>
    <t>92880502</t>
  </si>
  <si>
    <t>2666291</t>
  </si>
  <si>
    <t>7500000587</t>
  </si>
  <si>
    <t>8002507749</t>
  </si>
  <si>
    <t>GREMIO NESTLE</t>
  </si>
  <si>
    <t>0063t000010WkNpAAK</t>
  </si>
  <si>
    <t>92375888</t>
  </si>
  <si>
    <t>2192012</t>
  </si>
  <si>
    <t>PADs Empório | Jul21</t>
  </si>
  <si>
    <t>7500000852</t>
  </si>
  <si>
    <t>120201</t>
  </si>
  <si>
    <t>8002508854</t>
  </si>
  <si>
    <t>0063t000011jyZGAAY</t>
  </si>
  <si>
    <t>92802480</t>
  </si>
  <si>
    <t>2626728</t>
  </si>
  <si>
    <t>Nestlé Empório | PAds | Dezembro</t>
  </si>
  <si>
    <t>7500000853</t>
  </si>
  <si>
    <t>8002508802</t>
  </si>
  <si>
    <t>ALPARGATAS S.A.</t>
  </si>
  <si>
    <t>0063t0000103epEAAQ</t>
  </si>
  <si>
    <t>92796003</t>
  </si>
  <si>
    <t>2626748</t>
  </si>
  <si>
    <t>7500000572</t>
  </si>
  <si>
    <t>8002509033</t>
  </si>
  <si>
    <t>0063t000011kkV8AAI</t>
  </si>
  <si>
    <t>92913314</t>
  </si>
  <si>
    <t>2694357</t>
  </si>
  <si>
    <t>7500000608</t>
  </si>
  <si>
    <t>8002507312</t>
  </si>
  <si>
    <t>GENOMMA LABORATORIES DO BRASIL LTDA</t>
  </si>
  <si>
    <t>0063t00000zSRgSAAW</t>
  </si>
  <si>
    <t>92289567</t>
  </si>
  <si>
    <t>2087319</t>
  </si>
  <si>
    <t>GENOMMA |AON |MAI21</t>
  </si>
  <si>
    <t>7500000515</t>
  </si>
  <si>
    <t>8002507668</t>
  </si>
  <si>
    <t>0063t000010VhquAAC</t>
  </si>
  <si>
    <t>92341690</t>
  </si>
  <si>
    <t>2158410</t>
  </si>
  <si>
    <t>GENOMMA | AON | MAR´21</t>
  </si>
  <si>
    <t>7500000523</t>
  </si>
  <si>
    <t>8002508209</t>
  </si>
  <si>
    <t>BLUE DIAMOND GROWERS</t>
  </si>
  <si>
    <t>0063t0000104XBoAAM</t>
  </si>
  <si>
    <t>92481300</t>
  </si>
  <si>
    <t>2299763</t>
  </si>
  <si>
    <t>Almond Breeze| Pads | SET21</t>
  </si>
  <si>
    <t>7500000533</t>
  </si>
  <si>
    <t>8002508696</t>
  </si>
  <si>
    <t>0063t000011jiY5AAI</t>
  </si>
  <si>
    <t>92614267</t>
  </si>
  <si>
    <t>2545218</t>
  </si>
  <si>
    <t>Almond Breeze| DIRETO | PADS | Nov21</t>
  </si>
  <si>
    <t>7500000555</t>
  </si>
  <si>
    <t>8002507975</t>
  </si>
  <si>
    <t>0063t0000102gI3AAI</t>
  </si>
  <si>
    <t>92389853</t>
  </si>
  <si>
    <t>2241177</t>
  </si>
  <si>
    <t>Piracanjuba (NINHO E MOLICO) | Display | Ago21</t>
  </si>
  <si>
    <t>7500000526</t>
  </si>
  <si>
    <t>8002509034</t>
  </si>
  <si>
    <t>MONDELEZ BRASIL LTDA</t>
  </si>
  <si>
    <t>0063t000012OjelAAC</t>
  </si>
  <si>
    <t>92913315</t>
  </si>
  <si>
    <t>2694395</t>
  </si>
  <si>
    <t>Modelo PI_Mondelez_Meli FEVEREIRO (1).pdf</t>
  </si>
  <si>
    <t>7500000609</t>
  </si>
  <si>
    <t>8002509135</t>
  </si>
  <si>
    <t>0063t000012Q1rKAAS</t>
  </si>
  <si>
    <t>93117987</t>
  </si>
  <si>
    <t>2806862</t>
  </si>
  <si>
    <t>PI Mondelez _Meli MARÇO</t>
  </si>
  <si>
    <t>7500000639</t>
  </si>
  <si>
    <t>8002509294</t>
  </si>
  <si>
    <t>0063t000012QKgLAAW</t>
  </si>
  <si>
    <t>93200702</t>
  </si>
  <si>
    <t>2865589</t>
  </si>
  <si>
    <t>PI_Mondelez_Meli ABRIL</t>
  </si>
  <si>
    <t>7500000693</t>
  </si>
  <si>
    <t>8002509296</t>
  </si>
  <si>
    <t>DURACELL COMERCIAL E IMPORTADORA DO</t>
  </si>
  <si>
    <t>0063t000012XeqVAAS</t>
  </si>
  <si>
    <t>93200704</t>
  </si>
  <si>
    <t>2869567</t>
  </si>
  <si>
    <t>2022000660002701</t>
  </si>
  <si>
    <t>7500000694</t>
  </si>
  <si>
    <t>8002509041</t>
  </si>
  <si>
    <t>SIKA S A</t>
  </si>
  <si>
    <t>0063t000011lIUgAAM</t>
  </si>
  <si>
    <t>92913324</t>
  </si>
  <si>
    <t>2694410</t>
  </si>
  <si>
    <t>7500000610</t>
  </si>
  <si>
    <t>8002507664</t>
  </si>
  <si>
    <t>E NOZES COMERCIO PRODUTOS NATURAIS</t>
  </si>
  <si>
    <t>0063t000010WBZ9AAO</t>
  </si>
  <si>
    <t>92341681</t>
  </si>
  <si>
    <t>2170874</t>
  </si>
  <si>
    <t>É Nozes | Full Funnel | Jun21 - REFACTURACION</t>
  </si>
  <si>
    <t>7500000522</t>
  </si>
  <si>
    <t>8002508211</t>
  </si>
  <si>
    <t>0063t0000103G9xAAE</t>
  </si>
  <si>
    <t>92481302</t>
  </si>
  <si>
    <t>2299794</t>
  </si>
  <si>
    <t>É Nozes | Billboard e Pads | SET21</t>
  </si>
  <si>
    <t>7500000534</t>
  </si>
  <si>
    <t>8002508433</t>
  </si>
  <si>
    <t>0063t0000104ozuAAA</t>
  </si>
  <si>
    <t>92541648</t>
  </si>
  <si>
    <t>2343772</t>
  </si>
  <si>
    <t>É Nozes | Billboard e PAds | Out21</t>
  </si>
  <si>
    <t>7500000544</t>
  </si>
  <si>
    <t>8002507980</t>
  </si>
  <si>
    <t>0063t000010WeAzAAK</t>
  </si>
  <si>
    <t>92389858</t>
  </si>
  <si>
    <t>2241179</t>
  </si>
  <si>
    <t>É Nozes | Billboard e Pads | Ago21</t>
  </si>
  <si>
    <t>7500000527</t>
  </si>
  <si>
    <t>8002507755</t>
  </si>
  <si>
    <t>0063t000010VBSjAAO</t>
  </si>
  <si>
    <t>92375894</t>
  </si>
  <si>
    <t>2192043</t>
  </si>
  <si>
    <t>É Nozes | Billboard e Pads | Jul21</t>
  </si>
  <si>
    <t>7500000525</t>
  </si>
  <si>
    <t>8002509137</t>
  </si>
  <si>
    <t>BR PARTNER EQUIPAMENTOS ELETRONICOS</t>
  </si>
  <si>
    <t>0063t000012XJn9AAG</t>
  </si>
  <si>
    <t>93118020</t>
  </si>
  <si>
    <t>2806837</t>
  </si>
  <si>
    <t>7500000640</t>
  </si>
  <si>
    <t>8002507525</t>
  </si>
  <si>
    <t>NESTLÉ STORES LTDA</t>
  </si>
  <si>
    <t>0063t00000zS1aOAAS</t>
  </si>
  <si>
    <t>92335022</t>
  </si>
  <si>
    <t>2138633</t>
  </si>
  <si>
    <t>Nestlé | Campanha Institucional | Jun21</t>
  </si>
  <si>
    <t>7500000518</t>
  </si>
  <si>
    <t>8002507528</t>
  </si>
  <si>
    <t>0063t000010VBM1AAO</t>
  </si>
  <si>
    <t>92335025</t>
  </si>
  <si>
    <t>2138690</t>
  </si>
  <si>
    <t>Nestlé | Nutrição Infantil | Jun21</t>
  </si>
  <si>
    <t>7500000519</t>
  </si>
  <si>
    <t>8002509139</t>
  </si>
  <si>
    <t>0063t000012PsbBAAS</t>
  </si>
  <si>
    <t>93118183</t>
  </si>
  <si>
    <t>2806836</t>
  </si>
  <si>
    <t>7500000641</t>
  </si>
  <si>
    <t>8002509300</t>
  </si>
  <si>
    <t>0063t000012QKgKAAW</t>
  </si>
  <si>
    <t>93200709</t>
  </si>
  <si>
    <t>2865588</t>
  </si>
  <si>
    <t>175487</t>
  </si>
  <si>
    <t>7500000695</t>
  </si>
  <si>
    <t>8002509171</t>
  </si>
  <si>
    <t>OMRON HEALTHCARE BRASIL INDUSTRIA E</t>
  </si>
  <si>
    <t>0063t000011lGdSAAU</t>
  </si>
  <si>
    <t>93118784</t>
  </si>
  <si>
    <t>2807674</t>
  </si>
  <si>
    <t>7500000645</t>
  </si>
  <si>
    <t>8002507534</t>
  </si>
  <si>
    <t>KNIT COMERCIO DE ARTIGOS ESPORTIVOS</t>
  </si>
  <si>
    <t>0063t000010VBKtAAO</t>
  </si>
  <si>
    <t>92335031</t>
  </si>
  <si>
    <t>2138694</t>
  </si>
  <si>
    <t>KNIT | LANÇAMENTO | Jun21</t>
  </si>
  <si>
    <t>7500000520</t>
  </si>
  <si>
    <t>8002508214</t>
  </si>
  <si>
    <t>Nestlé Brasil LTDA</t>
  </si>
  <si>
    <t>0063t0000104Cq8AAE</t>
  </si>
  <si>
    <t>92481309</t>
  </si>
  <si>
    <t>2300907</t>
  </si>
  <si>
    <t>7500000535</t>
  </si>
  <si>
    <t>8002509172</t>
  </si>
  <si>
    <t>Companhia Brasileira de Distribuiçã</t>
  </si>
  <si>
    <t>0063t000011kuVBAAY</t>
  </si>
  <si>
    <t>93118785</t>
  </si>
  <si>
    <t>2806851</t>
  </si>
  <si>
    <t>7500000646</t>
  </si>
  <si>
    <t>8002508929</t>
  </si>
  <si>
    <t>BACARDI MARTINI DO BRASIL INDUSTRIA</t>
  </si>
  <si>
    <t>0063t000011lCmAAAU</t>
  </si>
  <si>
    <t>92880512</t>
  </si>
  <si>
    <t>2666234</t>
  </si>
  <si>
    <t>7500000588</t>
  </si>
  <si>
    <t>8002508810</t>
  </si>
  <si>
    <t>0063t000011jzVaAAI</t>
  </si>
  <si>
    <t>92796011</t>
  </si>
  <si>
    <t>2626724</t>
  </si>
  <si>
    <t>Bacardi | Remanescente BF | Dez 21</t>
  </si>
  <si>
    <t>7500000573</t>
  </si>
  <si>
    <t>0092389869</t>
  </si>
  <si>
    <t>8004500622</t>
  </si>
  <si>
    <t>ARMAZEM BRASIL COMERCIO DE COUROS E</t>
  </si>
  <si>
    <t>0063t0000102D4mAAE</t>
  </si>
  <si>
    <t>92389869</t>
  </si>
  <si>
    <t>60191035</t>
  </si>
  <si>
    <t>7500000564</t>
  </si>
  <si>
    <t>0092514489</t>
  </si>
  <si>
    <t>8004500636</t>
  </si>
  <si>
    <t>ICONIC LUBRIFICANTES S.A</t>
  </si>
  <si>
    <t>0063t0000105RNJAA2</t>
  </si>
  <si>
    <t>92514489</t>
  </si>
  <si>
    <t>60191191</t>
  </si>
  <si>
    <t>7500000565</t>
  </si>
  <si>
    <t>8002507992</t>
  </si>
  <si>
    <t>Elian Industria Textil LTDA</t>
  </si>
  <si>
    <t>0063t0000102BWyAAM</t>
  </si>
  <si>
    <t>92389871</t>
  </si>
  <si>
    <t>2241175</t>
  </si>
  <si>
    <t>7500000528</t>
  </si>
  <si>
    <t>8002509050</t>
  </si>
  <si>
    <t>SYNAPCOM COMERCIO ELETRONICO LTDA</t>
  </si>
  <si>
    <t>0063t000012PpmkAAC</t>
  </si>
  <si>
    <t>92913333</t>
  </si>
  <si>
    <t>2695484</t>
  </si>
  <si>
    <t>HYPERA | ADN E PADS | SET21</t>
  </si>
  <si>
    <t>7500000611</t>
  </si>
  <si>
    <t>8004500725</t>
  </si>
  <si>
    <t>WCT Fitness ltda</t>
  </si>
  <si>
    <t>7500000840</t>
  </si>
  <si>
    <t>8004500714</t>
  </si>
  <si>
    <t>EB 9000024796 WCT PAGAMENTO PARCELADO 1/4</t>
  </si>
  <si>
    <t>7500000839</t>
  </si>
  <si>
    <t>8004500770</t>
  </si>
  <si>
    <t>PARCELA 3/4 - PARCELAMENTO WCT</t>
  </si>
  <si>
    <t>7500000845</t>
  </si>
  <si>
    <t>8002508117</t>
  </si>
  <si>
    <t>ESTRELA DE OURO JOIAS E RELOGIOS LT</t>
  </si>
  <si>
    <t>0063t0000104CX1AAM</t>
  </si>
  <si>
    <t>92471746</t>
  </si>
  <si>
    <t>2293043</t>
  </si>
  <si>
    <t>7500000529</t>
  </si>
  <si>
    <t>8002508224</t>
  </si>
  <si>
    <t>0063t0000103dphAAA</t>
  </si>
  <si>
    <t>92481319</t>
  </si>
  <si>
    <t>2299573</t>
  </si>
  <si>
    <t>7500000536</t>
  </si>
  <si>
    <t>8002508225</t>
  </si>
  <si>
    <t>DEPOSITO DOS COPOS LTDA</t>
  </si>
  <si>
    <t>0063t0000104X8vAAE</t>
  </si>
  <si>
    <t>92481320</t>
  </si>
  <si>
    <t>2299757</t>
  </si>
  <si>
    <t>MEU COPO | PADS | SET21</t>
  </si>
  <si>
    <t>7500000537</t>
  </si>
  <si>
    <t>8002508442</t>
  </si>
  <si>
    <t>0063t000011ik60AAA</t>
  </si>
  <si>
    <t>92541659</t>
  </si>
  <si>
    <t>2343857</t>
  </si>
  <si>
    <t>MEU COPO | PADS | OUT21</t>
  </si>
  <si>
    <t>7500000545</t>
  </si>
  <si>
    <t>8002508457</t>
  </si>
  <si>
    <t>Mercado Seller Consultoria Ltda</t>
  </si>
  <si>
    <t>0063t0000104Y3CAAU</t>
  </si>
  <si>
    <t>92541675</t>
  </si>
  <si>
    <t>2333048</t>
  </si>
  <si>
    <t>7500000547</t>
  </si>
  <si>
    <t>8002508458</t>
  </si>
  <si>
    <t>VIVER DE ECOMMERCE NEGÓCIOS DIGITAI</t>
  </si>
  <si>
    <t>0063t0000104Y5wAAE</t>
  </si>
  <si>
    <t>92541676</t>
  </si>
  <si>
    <t>2333034</t>
  </si>
  <si>
    <t>7500000548</t>
  </si>
  <si>
    <t>0092913336</t>
  </si>
  <si>
    <t>8004500699</t>
  </si>
  <si>
    <t>Eficaz Tecnologia e Serviços LTDA</t>
  </si>
  <si>
    <t>0063t000012OjTOAA0</t>
  </si>
  <si>
    <t>92913336</t>
  </si>
  <si>
    <t>60233448</t>
  </si>
  <si>
    <t>7500000836</t>
  </si>
  <si>
    <t>8002508856</t>
  </si>
  <si>
    <t>0063t000011l2pPAAQ</t>
  </si>
  <si>
    <t>92802491</t>
  </si>
  <si>
    <t>2642775</t>
  </si>
  <si>
    <t>7500000576</t>
  </si>
  <si>
    <t>0093283073</t>
  </si>
  <si>
    <t>8004500774</t>
  </si>
  <si>
    <t>93283073</t>
  </si>
  <si>
    <t>60239050</t>
  </si>
  <si>
    <t>7500000847</t>
  </si>
  <si>
    <t>8002509180</t>
  </si>
  <si>
    <t>Heinz Brasil S.a.</t>
  </si>
  <si>
    <t>0063t000012P0RiAAK</t>
  </si>
  <si>
    <t>93118794</t>
  </si>
  <si>
    <t>2806859</t>
  </si>
  <si>
    <t>7500000647</t>
  </si>
  <si>
    <t>8002509181</t>
  </si>
  <si>
    <t>Campari do Brasil LTDA</t>
  </si>
  <si>
    <t>0063t000012Pp6hAAC</t>
  </si>
  <si>
    <t>93118795</t>
  </si>
  <si>
    <t>2806827</t>
  </si>
  <si>
    <t>PI.2022.00389.00001.002</t>
  </si>
  <si>
    <t>7500000648</t>
  </si>
  <si>
    <t>0093302065</t>
  </si>
  <si>
    <t>8004500780</t>
  </si>
  <si>
    <t>SOL-MILLENIUM MEDICAL INC.</t>
  </si>
  <si>
    <t>93302065</t>
  </si>
  <si>
    <t>60239161</t>
  </si>
  <si>
    <t>7500000848</t>
  </si>
  <si>
    <t>8002509183</t>
  </si>
  <si>
    <t>0063t0000104XCmAAM</t>
  </si>
  <si>
    <t>93118797</t>
  </si>
  <si>
    <t>2821743</t>
  </si>
  <si>
    <t>SOL MILLENIUM | PADS | SET21</t>
  </si>
  <si>
    <t>7500000650</t>
  </si>
  <si>
    <t>8002509312</t>
  </si>
  <si>
    <t>0063t000012Xe8mAAC</t>
  </si>
  <si>
    <t>93200727</t>
  </si>
  <si>
    <t>2869547</t>
  </si>
  <si>
    <t>7500000700</t>
  </si>
  <si>
    <t>8002509182</t>
  </si>
  <si>
    <t>0063t000012Ok2kAAC</t>
  </si>
  <si>
    <t>93118796</t>
  </si>
  <si>
    <t>2814063</t>
  </si>
  <si>
    <t>20220038800001001</t>
  </si>
  <si>
    <t>7500000649</t>
  </si>
  <si>
    <t>8002508942</t>
  </si>
  <si>
    <t>PHILIPS DOMESTIC APPLIANCES DO BRAS</t>
  </si>
  <si>
    <t>0063t000011kLPlAAM</t>
  </si>
  <si>
    <t>92880527</t>
  </si>
  <si>
    <t>2666260</t>
  </si>
  <si>
    <t>7500000592</t>
  </si>
  <si>
    <t>8002509060</t>
  </si>
  <si>
    <t>Highland Park Comercio e Imp LTDA</t>
  </si>
  <si>
    <t>0063t000012OiSKAA0</t>
  </si>
  <si>
    <t>92913346</t>
  </si>
  <si>
    <t>2694408</t>
  </si>
  <si>
    <t>7500000612</t>
  </si>
  <si>
    <t>8002509185</t>
  </si>
  <si>
    <t>0063t000012PtzAAAS</t>
  </si>
  <si>
    <t>93118799</t>
  </si>
  <si>
    <t>2807657</t>
  </si>
  <si>
    <t>7500000651</t>
  </si>
  <si>
    <t>8002508946</t>
  </si>
  <si>
    <t>0063t000011knxFAAQ</t>
  </si>
  <si>
    <t>92880531</t>
  </si>
  <si>
    <t>2666286</t>
  </si>
  <si>
    <t>7500000593</t>
  </si>
  <si>
    <t>8002509186</t>
  </si>
  <si>
    <t>NEWNESS BEBIDAS</t>
  </si>
  <si>
    <t>0063t0000104XACAA2</t>
  </si>
  <si>
    <t>93118800</t>
  </si>
  <si>
    <t>2821745</t>
  </si>
  <si>
    <t>NEWNESS BEBIDAS | PADS | SET21</t>
  </si>
  <si>
    <t>7500000652</t>
  </si>
  <si>
    <t>8002509187</t>
  </si>
  <si>
    <t>0063t000011ik8aAAA</t>
  </si>
  <si>
    <t>93118801</t>
  </si>
  <si>
    <t>2821746</t>
  </si>
  <si>
    <t>NEWNESS BEBIDAS | PADS | OUT21</t>
  </si>
  <si>
    <t>7500000653</t>
  </si>
  <si>
    <t>8002509062</t>
  </si>
  <si>
    <t>M DIAS BRANCO S.A. INDUSTRIA E COME</t>
  </si>
  <si>
    <t>0063t000012PouqAAC</t>
  </si>
  <si>
    <t>92913348</t>
  </si>
  <si>
    <t>2695485</t>
  </si>
  <si>
    <t>336169</t>
  </si>
  <si>
    <t>7500000613</t>
  </si>
  <si>
    <t>8002509063</t>
  </si>
  <si>
    <t>0063t000012PoubAAC</t>
  </si>
  <si>
    <t>92913349</t>
  </si>
  <si>
    <t>2695486</t>
  </si>
  <si>
    <t>336166</t>
  </si>
  <si>
    <t>7500000614</t>
  </si>
  <si>
    <t>8002509190</t>
  </si>
  <si>
    <t>25 BEST DISTRIBUIDORA DE ELETRONICO</t>
  </si>
  <si>
    <t>0063t000011l3qiAAA</t>
  </si>
  <si>
    <t>93118804</t>
  </si>
  <si>
    <t>2807660</t>
  </si>
  <si>
    <t>7500000654</t>
  </si>
  <si>
    <t>8002509315</t>
  </si>
  <si>
    <t>Nestle Brasil Ltda</t>
  </si>
  <si>
    <t>0063t000012XomGAAS</t>
  </si>
  <si>
    <t>93200730</t>
  </si>
  <si>
    <t>2865615</t>
  </si>
  <si>
    <t>7500000701</t>
  </si>
  <si>
    <t>8002509192</t>
  </si>
  <si>
    <t>AMBEV S.A</t>
  </si>
  <si>
    <t>0063t0000104WeLAAU</t>
  </si>
  <si>
    <t>93118806</t>
  </si>
  <si>
    <t>2821744</t>
  </si>
  <si>
    <t>EMPORIO AMBEV | SET21</t>
  </si>
  <si>
    <t>7500000655</t>
  </si>
  <si>
    <t>8002509193</t>
  </si>
  <si>
    <t>0063t000011iGHLAA2</t>
  </si>
  <si>
    <t>93118807</t>
  </si>
  <si>
    <t>2821747</t>
  </si>
  <si>
    <t>EMPORIO AMBEV | OUT21</t>
  </si>
  <si>
    <t>7500000656</t>
  </si>
  <si>
    <t>8002509320</t>
  </si>
  <si>
    <t>MICROSOFT DO BRASIL IMP COM SOFTWAR</t>
  </si>
  <si>
    <t>0063t000012XnZIAA0</t>
  </si>
  <si>
    <t>93200735</t>
  </si>
  <si>
    <t>2873643</t>
  </si>
  <si>
    <t>74634</t>
  </si>
  <si>
    <t>7500000705</t>
  </si>
  <si>
    <t>8002508614</t>
  </si>
  <si>
    <t>ROBERT BOSCH LIMITADA</t>
  </si>
  <si>
    <t>0063t000011j6FrAAI</t>
  </si>
  <si>
    <t>92556399</t>
  </si>
  <si>
    <t>2391711</t>
  </si>
  <si>
    <t>7500000549</t>
  </si>
  <si>
    <t>8002507542</t>
  </si>
  <si>
    <t>Zerbini do Brasil Ltda</t>
  </si>
  <si>
    <t>0063t00000zRrMtAAK</t>
  </si>
  <si>
    <t>92335039</t>
  </si>
  <si>
    <t>2138684</t>
  </si>
  <si>
    <t>2021.01181.00001.001</t>
  </si>
  <si>
    <t>7500000521</t>
  </si>
  <si>
    <t>8002509324</t>
  </si>
  <si>
    <t>WEBFONES COMERCIO DE ARTIGOS DE</t>
  </si>
  <si>
    <t>0063t000012QKg0AAG</t>
  </si>
  <si>
    <t>93200739</t>
  </si>
  <si>
    <t>2865585</t>
  </si>
  <si>
    <t>7500000709</t>
  </si>
  <si>
    <t>8002508834</t>
  </si>
  <si>
    <t>FOREVER COMPANY COSMETICOS LTDA</t>
  </si>
  <si>
    <t>0063t000011jofSAAQ</t>
  </si>
  <si>
    <t>92796035</t>
  </si>
  <si>
    <t>2626731</t>
  </si>
  <si>
    <t>7500000574</t>
  </si>
  <si>
    <t>8002508712</t>
  </si>
  <si>
    <t>0063t000011iOtFAAU</t>
  </si>
  <si>
    <t>92614285</t>
  </si>
  <si>
    <t>2545438</t>
  </si>
  <si>
    <t>7500000557</t>
  </si>
  <si>
    <t>8002509200</t>
  </si>
  <si>
    <t>AGP TECNOLOGIA EM INFORMATICA DO BR</t>
  </si>
  <si>
    <t>0063t000011kaHUAAY</t>
  </si>
  <si>
    <t>93118814</t>
  </si>
  <si>
    <t>2807661</t>
  </si>
  <si>
    <t>7500000658</t>
  </si>
  <si>
    <t>8002509070</t>
  </si>
  <si>
    <t>0063t000011kaHZAAY</t>
  </si>
  <si>
    <t>92913356</t>
  </si>
  <si>
    <t>2694351</t>
  </si>
  <si>
    <t>7500000615</t>
  </si>
  <si>
    <t>8002509201</t>
  </si>
  <si>
    <t>0063t000012Q24hAAC</t>
  </si>
  <si>
    <t>93118815</t>
  </si>
  <si>
    <t>2807672</t>
  </si>
  <si>
    <t>7500000659</t>
  </si>
  <si>
    <t>8004500784</t>
  </si>
  <si>
    <t>FORD MOTOR COMPANY BRASIL LTDA</t>
  </si>
  <si>
    <t>Crédito</t>
  </si>
  <si>
    <t>7500000849</t>
  </si>
  <si>
    <t>@AG\QAtrasado@</t>
  </si>
  <si>
    <t>8002509355</t>
  </si>
  <si>
    <t>SONY BRASIL LTDA</t>
  </si>
  <si>
    <t>0063t000012XyoTAAS</t>
  </si>
  <si>
    <t>93275048</t>
  </si>
  <si>
    <t>2943433</t>
  </si>
  <si>
    <t>7500000715</t>
  </si>
  <si>
    <t>8002509414</t>
  </si>
  <si>
    <t>0063t000012XVWKAA4</t>
  </si>
  <si>
    <t>93275209</t>
  </si>
  <si>
    <t>2944322</t>
  </si>
  <si>
    <t>8657</t>
  </si>
  <si>
    <t>7500000773</t>
  </si>
  <si>
    <t>8002509416</t>
  </si>
  <si>
    <t>0063t000012YWUnAAO</t>
  </si>
  <si>
    <t>93275211</t>
  </si>
  <si>
    <t>2944326</t>
  </si>
  <si>
    <t>8658</t>
  </si>
  <si>
    <t>7500000775</t>
  </si>
  <si>
    <t>8002509417</t>
  </si>
  <si>
    <t>0063t000012YWYuAAO</t>
  </si>
  <si>
    <t>93275212</t>
  </si>
  <si>
    <t>2944327</t>
  </si>
  <si>
    <t>8666</t>
  </si>
  <si>
    <t>7500000776</t>
  </si>
  <si>
    <t>8002509215</t>
  </si>
  <si>
    <t>0063t000012Y9zPAAS</t>
  </si>
  <si>
    <t>93148076</t>
  </si>
  <si>
    <t>2837666</t>
  </si>
  <si>
    <t>PI 8489A</t>
  </si>
  <si>
    <t>7500000660</t>
  </si>
  <si>
    <t>8002509216</t>
  </si>
  <si>
    <t>0063t000012Y9xRAAS</t>
  </si>
  <si>
    <t>93148077</t>
  </si>
  <si>
    <t>2837667</t>
  </si>
  <si>
    <t>PI 8538A</t>
  </si>
  <si>
    <t>7500000661</t>
  </si>
  <si>
    <t>8002509217</t>
  </si>
  <si>
    <t>0063t000012YA08AAG</t>
  </si>
  <si>
    <t>93148078</t>
  </si>
  <si>
    <t>2837668</t>
  </si>
  <si>
    <t>PI 8537A</t>
  </si>
  <si>
    <t>7500000662</t>
  </si>
  <si>
    <t>8002509415</t>
  </si>
  <si>
    <t>0063t000012YWXNAA4</t>
  </si>
  <si>
    <t>93275210</t>
  </si>
  <si>
    <t>2944323</t>
  </si>
  <si>
    <t>8667</t>
  </si>
  <si>
    <t>7500000774</t>
  </si>
  <si>
    <t>8002508969</t>
  </si>
  <si>
    <t>0063t000011lDR8AAM</t>
  </si>
  <si>
    <t>92913196</t>
  </si>
  <si>
    <t>2694418</t>
  </si>
  <si>
    <t>8488</t>
  </si>
  <si>
    <t>7500000595</t>
  </si>
  <si>
    <t>8002509225</t>
  </si>
  <si>
    <t>0063t000012Yi2zAAC</t>
  </si>
  <si>
    <t>93200632</t>
  </si>
  <si>
    <t>2884599</t>
  </si>
  <si>
    <t>7500000663</t>
  </si>
  <si>
    <t>8002509341</t>
  </si>
  <si>
    <t>0063t000012YW5jAAG</t>
  </si>
  <si>
    <t>93221730</t>
  </si>
  <si>
    <t>2892612</t>
  </si>
  <si>
    <t>8531</t>
  </si>
  <si>
    <t>7500000711</t>
  </si>
  <si>
    <t>8002509342</t>
  </si>
  <si>
    <t>0063t000012YW5ZAAW</t>
  </si>
  <si>
    <t>93221731</t>
  </si>
  <si>
    <t>2892613</t>
  </si>
  <si>
    <t>8532</t>
  </si>
  <si>
    <t>7500000712</t>
  </si>
  <si>
    <t>8002509461</t>
  </si>
  <si>
    <t>0063t0000135b1AAAQ</t>
  </si>
  <si>
    <t>93275276</t>
  </si>
  <si>
    <t>2966343</t>
  </si>
  <si>
    <t>7500000818</t>
  </si>
  <si>
    <t>8002509462</t>
  </si>
  <si>
    <t>0063t0000135b1BAAQ</t>
  </si>
  <si>
    <t>93275277</t>
  </si>
  <si>
    <t>2966344</t>
  </si>
  <si>
    <t>7500000819</t>
  </si>
  <si>
    <t>8002509418</t>
  </si>
  <si>
    <t>0063t0000135PpfAAE</t>
  </si>
  <si>
    <t>93275213</t>
  </si>
  <si>
    <t>2943477</t>
  </si>
  <si>
    <t>7500000777</t>
  </si>
  <si>
    <t>8002509419</t>
  </si>
  <si>
    <t>BELEZA. COM COMERCIO DE PRODUTOS DE</t>
  </si>
  <si>
    <t>0063t0000135BNPAA2</t>
  </si>
  <si>
    <t>93275214</t>
  </si>
  <si>
    <t>2943783</t>
  </si>
  <si>
    <t>1</t>
  </si>
  <si>
    <t>7500000778</t>
  </si>
  <si>
    <t>8002509357</t>
  </si>
  <si>
    <t>0063t0000135ImIAAU</t>
  </si>
  <si>
    <t>93275054</t>
  </si>
  <si>
    <t>2934295</t>
  </si>
  <si>
    <t>7500000717</t>
  </si>
  <si>
    <t>8002509359</t>
  </si>
  <si>
    <t>0063t000012YSY0AAO</t>
  </si>
  <si>
    <t>93275056</t>
  </si>
  <si>
    <t>2943437</t>
  </si>
  <si>
    <t>7500000719</t>
  </si>
  <si>
    <t>8002509356</t>
  </si>
  <si>
    <t>0063t0000135Jp2AAE</t>
  </si>
  <si>
    <t>93275053</t>
  </si>
  <si>
    <t>2934294</t>
  </si>
  <si>
    <t>7500000716</t>
  </si>
  <si>
    <t>8002509358</t>
  </si>
  <si>
    <t>0063t0000135ImcAAE</t>
  </si>
  <si>
    <t>93275055</t>
  </si>
  <si>
    <t>2934296</t>
  </si>
  <si>
    <t>7500000718</t>
  </si>
  <si>
    <t>8002509360</t>
  </si>
  <si>
    <t>FAGANELLO COMERCIO E SERVICOS EIREL</t>
  </si>
  <si>
    <t>0063t000012YdUXAA0</t>
  </si>
  <si>
    <t>93275059</t>
  </si>
  <si>
    <t>2943466</t>
  </si>
  <si>
    <t>7500000720</t>
  </si>
  <si>
    <t>8002509361</t>
  </si>
  <si>
    <t>DOCE LAR G7 IMPORTACAO COMERCIO E D</t>
  </si>
  <si>
    <t>0063t000012YTDnAAO</t>
  </si>
  <si>
    <t>93275060</t>
  </si>
  <si>
    <t>2943410</t>
  </si>
  <si>
    <t>7500000721</t>
  </si>
  <si>
    <t>8002509362</t>
  </si>
  <si>
    <t>0063t000012YljdAAC</t>
  </si>
  <si>
    <t>93275061</t>
  </si>
  <si>
    <t>2943473</t>
  </si>
  <si>
    <t>7500000722</t>
  </si>
  <si>
    <t>8002509228</t>
  </si>
  <si>
    <t>0063t000012XIytAAG</t>
  </si>
  <si>
    <t>93200636</t>
  </si>
  <si>
    <t>2869544</t>
  </si>
  <si>
    <t>7500000664</t>
  </si>
  <si>
    <t>8002509363</t>
  </si>
  <si>
    <t>0063t000012XLaFAAW</t>
  </si>
  <si>
    <t>93275062</t>
  </si>
  <si>
    <t>2943411</t>
  </si>
  <si>
    <t>7500000723</t>
  </si>
  <si>
    <t>8002509229</t>
  </si>
  <si>
    <t>0063t000012Xeo5AAC</t>
  </si>
  <si>
    <t>93200637</t>
  </si>
  <si>
    <t>2869566</t>
  </si>
  <si>
    <t>7500000665</t>
  </si>
  <si>
    <t>8002509420</t>
  </si>
  <si>
    <t>0063t000012Y0flAAC</t>
  </si>
  <si>
    <t>93275215</t>
  </si>
  <si>
    <t>2943786</t>
  </si>
  <si>
    <t>7500000779</t>
  </si>
  <si>
    <t>8002509364</t>
  </si>
  <si>
    <t>JACOBS DOUWE EGBERTS BR COMERCIALIZ</t>
  </si>
  <si>
    <t>0063t000012YVRTAA4</t>
  </si>
  <si>
    <t>93275063</t>
  </si>
  <si>
    <t>2943438</t>
  </si>
  <si>
    <t>401148 e 401143</t>
  </si>
  <si>
    <t>7500000724</t>
  </si>
  <si>
    <t>8002509365</t>
  </si>
  <si>
    <t>0063t000012YT5JAAW</t>
  </si>
  <si>
    <t>93275064</t>
  </si>
  <si>
    <t>2943424</t>
  </si>
  <si>
    <t>8642</t>
  </si>
  <si>
    <t>7500000725</t>
  </si>
  <si>
    <t>8002509233</t>
  </si>
  <si>
    <t>0063t000012Y0UJAA0</t>
  </si>
  <si>
    <t>93200641</t>
  </si>
  <si>
    <t>2865621</t>
  </si>
  <si>
    <t>7500000667</t>
  </si>
  <si>
    <t>8002509421</t>
  </si>
  <si>
    <t>0063t000012Y0bAAAS</t>
  </si>
  <si>
    <t>93275216</t>
  </si>
  <si>
    <t>2943484</t>
  </si>
  <si>
    <t>7500000780</t>
  </si>
  <si>
    <t>8003504885</t>
  </si>
  <si>
    <t>Crédito ref. a variação cambial, taxa aprov. MELI</t>
  </si>
  <si>
    <t>7500000561</t>
  </si>
  <si>
    <t>8002509235</t>
  </si>
  <si>
    <t>0063t000012XlJzAAK</t>
  </si>
  <si>
    <t>93200643</t>
  </si>
  <si>
    <t>2865620</t>
  </si>
  <si>
    <t>689276</t>
  </si>
  <si>
    <t>7500000669</t>
  </si>
  <si>
    <t>8002509481</t>
  </si>
  <si>
    <t>0063t0000135fzfAAA</t>
  </si>
  <si>
    <t>93282962</t>
  </si>
  <si>
    <t>2973518</t>
  </si>
  <si>
    <t>687725; 686800; 686140;686138;688248;688247; 68824</t>
  </si>
  <si>
    <t>7500000831</t>
  </si>
  <si>
    <t>8002509367</t>
  </si>
  <si>
    <t>0063t000012YSuuAAG</t>
  </si>
  <si>
    <t>93275066</t>
  </si>
  <si>
    <t>2943434</t>
  </si>
  <si>
    <t>690012</t>
  </si>
  <si>
    <t>7500000727</t>
  </si>
  <si>
    <t>8002509366</t>
  </si>
  <si>
    <t>0063t000012QKf7AAG</t>
  </si>
  <si>
    <t>93275065</t>
  </si>
  <si>
    <t>2943418</t>
  </si>
  <si>
    <t>690442, 690441, 690383, 690354, 690314, 690297, 69</t>
  </si>
  <si>
    <t>7500000726</t>
  </si>
  <si>
    <t>8002509470</t>
  </si>
  <si>
    <t>0063t0000135aQgAAI</t>
  </si>
  <si>
    <t>93275285</t>
  </si>
  <si>
    <t>2966346</t>
  </si>
  <si>
    <t>7500000827</t>
  </si>
  <si>
    <t>8002509422</t>
  </si>
  <si>
    <t>0063t000012YQqfAAG</t>
  </si>
  <si>
    <t>93275217</t>
  </si>
  <si>
    <t>2943772</t>
  </si>
  <si>
    <t>7500000781</t>
  </si>
  <si>
    <t>8002509471</t>
  </si>
  <si>
    <t>0063t0000135aRNAAY</t>
  </si>
  <si>
    <t>93275286</t>
  </si>
  <si>
    <t>2966347</t>
  </si>
  <si>
    <t>7500000828</t>
  </si>
  <si>
    <t>8002509473</t>
  </si>
  <si>
    <t>0063t0000135aRjAAI</t>
  </si>
  <si>
    <t>93275288</t>
  </si>
  <si>
    <t>2966349</t>
  </si>
  <si>
    <t>7500000830</t>
  </si>
  <si>
    <t>8002509371</t>
  </si>
  <si>
    <t>0063t000012YmVIAA0</t>
  </si>
  <si>
    <t>93275070</t>
  </si>
  <si>
    <t>2944330</t>
  </si>
  <si>
    <t>7500000731</t>
  </si>
  <si>
    <t>8002509423</t>
  </si>
  <si>
    <t>0063t000012YmNcAAK</t>
  </si>
  <si>
    <t>93275218</t>
  </si>
  <si>
    <t>2943778</t>
  </si>
  <si>
    <t>7500000782</t>
  </si>
  <si>
    <t>8002509463</t>
  </si>
  <si>
    <t>0063t0000135aQtAAI</t>
  </si>
  <si>
    <t>93275278</t>
  </si>
  <si>
    <t>2966337</t>
  </si>
  <si>
    <t>7500000820</t>
  </si>
  <si>
    <t>8002509465</t>
  </si>
  <si>
    <t>0063t0000135aRcAAI</t>
  </si>
  <si>
    <t>93275280</t>
  </si>
  <si>
    <t>2966339</t>
  </si>
  <si>
    <t>7500000822</t>
  </si>
  <si>
    <t>8002509469</t>
  </si>
  <si>
    <t>0063t0000135aQeAAI</t>
  </si>
  <si>
    <t>93275284</t>
  </si>
  <si>
    <t>2966345</t>
  </si>
  <si>
    <t>7500000826</t>
  </si>
  <si>
    <t>8002509467</t>
  </si>
  <si>
    <t>0063t0000135aRwAAI</t>
  </si>
  <si>
    <t>93275282</t>
  </si>
  <si>
    <t>2966341</t>
  </si>
  <si>
    <t>7500000824</t>
  </si>
  <si>
    <t>8002509466</t>
  </si>
  <si>
    <t>0063t0000135aRrAAI</t>
  </si>
  <si>
    <t>93275281</t>
  </si>
  <si>
    <t>2966340</t>
  </si>
  <si>
    <t>7500000823</t>
  </si>
  <si>
    <t>8002509373</t>
  </si>
  <si>
    <t>0063t000012YfE3AAK</t>
  </si>
  <si>
    <t>93275072</t>
  </si>
  <si>
    <t>2953507</t>
  </si>
  <si>
    <t>7500000733</t>
  </si>
  <si>
    <t>8002509464</t>
  </si>
  <si>
    <t>0063t0000135aR8AAI</t>
  </si>
  <si>
    <t>93275279</t>
  </si>
  <si>
    <t>2966338</t>
  </si>
  <si>
    <t>7500000821</t>
  </si>
  <si>
    <t>8002509472</t>
  </si>
  <si>
    <t>0063t0000135aRhAAI</t>
  </si>
  <si>
    <t>93275287</t>
  </si>
  <si>
    <t>2966348</t>
  </si>
  <si>
    <t>7500000829</t>
  </si>
  <si>
    <t>8002509468</t>
  </si>
  <si>
    <t>0063t0000135aRyAAI</t>
  </si>
  <si>
    <t>93275283</t>
  </si>
  <si>
    <t>2966342</t>
  </si>
  <si>
    <t>7500000825</t>
  </si>
  <si>
    <t>8002509424</t>
  </si>
  <si>
    <t>0063t000012YmHPAA0</t>
  </si>
  <si>
    <t>93275219</t>
  </si>
  <si>
    <t>2943780</t>
  </si>
  <si>
    <t>7500000783</t>
  </si>
  <si>
    <t>8002509372</t>
  </si>
  <si>
    <t>0063t000012XoDaAAK</t>
  </si>
  <si>
    <t>93275071</t>
  </si>
  <si>
    <t>2944331</t>
  </si>
  <si>
    <t>7500000732</t>
  </si>
  <si>
    <t>8002509370</t>
  </si>
  <si>
    <t>0063t000012YmVHAA0</t>
  </si>
  <si>
    <t>93275069</t>
  </si>
  <si>
    <t>2944329</t>
  </si>
  <si>
    <t>7500000730</t>
  </si>
  <si>
    <t>8002509369</t>
  </si>
  <si>
    <t>0063t000012YmWUAA0</t>
  </si>
  <si>
    <t>93275068</t>
  </si>
  <si>
    <t>2944328</t>
  </si>
  <si>
    <t>7500000729</t>
  </si>
  <si>
    <t>8002509368</t>
  </si>
  <si>
    <t>0063t000012YKbzAAG</t>
  </si>
  <si>
    <t>93275067</t>
  </si>
  <si>
    <t>2944325</t>
  </si>
  <si>
    <t>7500000728</t>
  </si>
  <si>
    <t>8002508995</t>
  </si>
  <si>
    <t>0063t000011l78QAAQ</t>
  </si>
  <si>
    <t>92913222</t>
  </si>
  <si>
    <t>2694345</t>
  </si>
  <si>
    <t>7500000602</t>
  </si>
  <si>
    <t>8002509425</t>
  </si>
  <si>
    <t>0063t000012XoDkAAK</t>
  </si>
  <si>
    <t>93275220</t>
  </si>
  <si>
    <t>2943775</t>
  </si>
  <si>
    <t>7500000784</t>
  </si>
  <si>
    <t>8002509374</t>
  </si>
  <si>
    <t>0063t000012XoDpAAK</t>
  </si>
  <si>
    <t>93275083</t>
  </si>
  <si>
    <t>2943784</t>
  </si>
  <si>
    <t>7500000734</t>
  </si>
  <si>
    <t>8002508882</t>
  </si>
  <si>
    <t>0063t000011kyigAAA</t>
  </si>
  <si>
    <t>92880462</t>
  </si>
  <si>
    <t>2666301</t>
  </si>
  <si>
    <t>CLINIQUE JAN 22</t>
  </si>
  <si>
    <t>7500000579</t>
  </si>
  <si>
    <t>8002508883</t>
  </si>
  <si>
    <t>0063t000011kydbAAA</t>
  </si>
  <si>
    <t>92880463</t>
  </si>
  <si>
    <t>2666310</t>
  </si>
  <si>
    <t>MAC JAN 22</t>
  </si>
  <si>
    <t>7500000580</t>
  </si>
  <si>
    <t>8002508996</t>
  </si>
  <si>
    <t>0063t000011l6i8AAA</t>
  </si>
  <si>
    <t>92913223</t>
  </si>
  <si>
    <t>2694347</t>
  </si>
  <si>
    <t>7500000603</t>
  </si>
  <si>
    <t>8002509375</t>
  </si>
  <si>
    <t>BDB FERRAMENTAS DO BRASIL LTDA.</t>
  </si>
  <si>
    <t>0063t000012QFnhAAG</t>
  </si>
  <si>
    <t>93275084</t>
  </si>
  <si>
    <t>2943419</t>
  </si>
  <si>
    <t>7500000735</t>
  </si>
  <si>
    <t>8002509376</t>
  </si>
  <si>
    <t>0063t000012YwP8AAK</t>
  </si>
  <si>
    <t>93275085</t>
  </si>
  <si>
    <t>2943469</t>
  </si>
  <si>
    <t>7500000736</t>
  </si>
  <si>
    <t>8002509377</t>
  </si>
  <si>
    <t>0063t000012YpT5AAK</t>
  </si>
  <si>
    <t>93275086</t>
  </si>
  <si>
    <t>2943460</t>
  </si>
  <si>
    <t>7500000737</t>
  </si>
  <si>
    <t>8002509378</t>
  </si>
  <si>
    <t>0063t000012YpRYAA0</t>
  </si>
  <si>
    <t>93275087</t>
  </si>
  <si>
    <t>2943465</t>
  </si>
  <si>
    <t>7500000738</t>
  </si>
  <si>
    <t>8002509114</t>
  </si>
  <si>
    <t>0063t000012Q4teAAC</t>
  </si>
  <si>
    <t>93117616</t>
  </si>
  <si>
    <t>2806878</t>
  </si>
  <si>
    <t>000.1157</t>
  </si>
  <si>
    <t>7500000630</t>
  </si>
  <si>
    <t>8002509110</t>
  </si>
  <si>
    <t>0063t000012Q4zHAAS</t>
  </si>
  <si>
    <t>93117612</t>
  </si>
  <si>
    <t>2806874</t>
  </si>
  <si>
    <t>341.764</t>
  </si>
  <si>
    <t>7500000626</t>
  </si>
  <si>
    <t>8002509254</t>
  </si>
  <si>
    <t>0063t000012XhPXAA0</t>
  </si>
  <si>
    <t>93200662</t>
  </si>
  <si>
    <t>2869557</t>
  </si>
  <si>
    <t>343843</t>
  </si>
  <si>
    <t>7500000676</t>
  </si>
  <si>
    <t>8002509426</t>
  </si>
  <si>
    <t>0063t000012XoDQAA0</t>
  </si>
  <si>
    <t>93275221</t>
  </si>
  <si>
    <t>2943774</t>
  </si>
  <si>
    <t>346462</t>
  </si>
  <si>
    <t>7500000785</t>
  </si>
  <si>
    <t>8002509336</t>
  </si>
  <si>
    <t>0063t000012YfEmAAK</t>
  </si>
  <si>
    <t>93200966</t>
  </si>
  <si>
    <t>2888041</t>
  </si>
  <si>
    <t>341.660</t>
  </si>
  <si>
    <t>7500000710</t>
  </si>
  <si>
    <t>8002509255</t>
  </si>
  <si>
    <t>0063t000012XnohAAC</t>
  </si>
  <si>
    <t>93200663</t>
  </si>
  <si>
    <t>2869569</t>
  </si>
  <si>
    <t>7500000677</t>
  </si>
  <si>
    <t>8002509115</t>
  </si>
  <si>
    <t>0063t000012Q4uMAAS</t>
  </si>
  <si>
    <t>93117617</t>
  </si>
  <si>
    <t>2806880</t>
  </si>
  <si>
    <t>000.1165</t>
  </si>
  <si>
    <t>7500000631</t>
  </si>
  <si>
    <t>8002509113</t>
  </si>
  <si>
    <t>0063t000012Q4tdAAC</t>
  </si>
  <si>
    <t>93117615</t>
  </si>
  <si>
    <t>2806877</t>
  </si>
  <si>
    <t>000.1153</t>
  </si>
  <si>
    <t>7500000629</t>
  </si>
  <si>
    <t>8002509111</t>
  </si>
  <si>
    <t>0063t000012Q4t9AAC</t>
  </si>
  <si>
    <t>93117613</t>
  </si>
  <si>
    <t>2806875</t>
  </si>
  <si>
    <t>0001144</t>
  </si>
  <si>
    <t>7500000627</t>
  </si>
  <si>
    <t>8002509116</t>
  </si>
  <si>
    <t>0063t000012Q4zWAAS</t>
  </si>
  <si>
    <t>93117618</t>
  </si>
  <si>
    <t>2806881</t>
  </si>
  <si>
    <t>341.788</t>
  </si>
  <si>
    <t>7500000632</t>
  </si>
  <si>
    <t>8002509112</t>
  </si>
  <si>
    <t>0063t000012Q4vAAAS</t>
  </si>
  <si>
    <t>93117614</t>
  </si>
  <si>
    <t>2806876</t>
  </si>
  <si>
    <t>000.1187</t>
  </si>
  <si>
    <t>7500000628</t>
  </si>
  <si>
    <t>8002509118</t>
  </si>
  <si>
    <t>0063t000012Q4ydAAC</t>
  </si>
  <si>
    <t>93117620</t>
  </si>
  <si>
    <t>2806884</t>
  </si>
  <si>
    <t>341.693</t>
  </si>
  <si>
    <t>7500000634</t>
  </si>
  <si>
    <t>8002509117</t>
  </si>
  <si>
    <t>0063t000012Q4suAAC</t>
  </si>
  <si>
    <t>93117619</t>
  </si>
  <si>
    <t>2806883</t>
  </si>
  <si>
    <t>000.1116</t>
  </si>
  <si>
    <t>7500000633</t>
  </si>
  <si>
    <t>8002509251</t>
  </si>
  <si>
    <t>0063t000012XhQLAA0</t>
  </si>
  <si>
    <t>93200659</t>
  </si>
  <si>
    <t>2869551</t>
  </si>
  <si>
    <t>343824</t>
  </si>
  <si>
    <t>7500000673</t>
  </si>
  <si>
    <t>8002509253</t>
  </si>
  <si>
    <t>0063t000012XhPIAA0</t>
  </si>
  <si>
    <t>93200661</t>
  </si>
  <si>
    <t>2869556</t>
  </si>
  <si>
    <t>344197</t>
  </si>
  <si>
    <t>7500000675</t>
  </si>
  <si>
    <t>8002509252</t>
  </si>
  <si>
    <t>0063t000012XhQMAA0</t>
  </si>
  <si>
    <t>93200660</t>
  </si>
  <si>
    <t>2869552</t>
  </si>
  <si>
    <t>343801</t>
  </si>
  <si>
    <t>7500000674</t>
  </si>
  <si>
    <t>8002509379</t>
  </si>
  <si>
    <t>0063t000012XoDVAA0</t>
  </si>
  <si>
    <t>93275088</t>
  </si>
  <si>
    <t>2943785</t>
  </si>
  <si>
    <t>7500000739</t>
  </si>
  <si>
    <t>8002509108</t>
  </si>
  <si>
    <t>0063t000012Q4ulAAC</t>
  </si>
  <si>
    <t>93117610</t>
  </si>
  <si>
    <t>2806871</t>
  </si>
  <si>
    <t>000.1176</t>
  </si>
  <si>
    <t>7500000625</t>
  </si>
  <si>
    <t>8002509380</t>
  </si>
  <si>
    <t>PUIG BRASIL COMERC DE PERFUMES LTDA</t>
  </si>
  <si>
    <t>0063t000012YjM6AAK</t>
  </si>
  <si>
    <t>93275090</t>
  </si>
  <si>
    <t>2943781</t>
  </si>
  <si>
    <t>7500000740</t>
  </si>
  <si>
    <t>8002509256</t>
  </si>
  <si>
    <t>Intel Corporation</t>
  </si>
  <si>
    <t>0063t000012XoJ4AAK</t>
  </si>
  <si>
    <t>93200664</t>
  </si>
  <si>
    <t>2869573</t>
  </si>
  <si>
    <t>7500000678</t>
  </si>
  <si>
    <t>8002509381</t>
  </si>
  <si>
    <t>0063t000012YJF7AAO</t>
  </si>
  <si>
    <t>93275091</t>
  </si>
  <si>
    <t>2943439</t>
  </si>
  <si>
    <t>7500000741</t>
  </si>
  <si>
    <t>8002509155</t>
  </si>
  <si>
    <t>0063t000011ka7AAAQ</t>
  </si>
  <si>
    <t>93118768</t>
  </si>
  <si>
    <t>2807662</t>
  </si>
  <si>
    <t>7500000643</t>
  </si>
  <si>
    <t>CO</t>
  </si>
  <si>
    <t>8350015393</t>
  </si>
  <si>
    <t>Lançamento de crédito EB-9000300023716</t>
  </si>
  <si>
    <t>7500000851</t>
  </si>
  <si>
    <t>8002509257</t>
  </si>
  <si>
    <t>0063t000012XQ89AAG</t>
  </si>
  <si>
    <t>93200665</t>
  </si>
  <si>
    <t>2865603</t>
  </si>
  <si>
    <t>7500000679</t>
  </si>
  <si>
    <t>8002509382</t>
  </si>
  <si>
    <t>0063t000012XTyaAAG</t>
  </si>
  <si>
    <t>93275092</t>
  </si>
  <si>
    <t>2943445</t>
  </si>
  <si>
    <t>7500000742</t>
  </si>
  <si>
    <t>8002509427</t>
  </si>
  <si>
    <t>0063t000013534iAAA</t>
  </si>
  <si>
    <t>93275222</t>
  </si>
  <si>
    <t>2943476</t>
  </si>
  <si>
    <t>7500000786</t>
  </si>
  <si>
    <t>8002509383</t>
  </si>
  <si>
    <t>0063t000012YgQAAA0</t>
  </si>
  <si>
    <t>93275093</t>
  </si>
  <si>
    <t>2943782</t>
  </si>
  <si>
    <t>7500000743</t>
  </si>
  <si>
    <t>8002509386</t>
  </si>
  <si>
    <t>ESSITY DO BRASIL INDUSTRIA E COMÉRC</t>
  </si>
  <si>
    <t>0063t000012Yf2RAAS</t>
  </si>
  <si>
    <t>93275096</t>
  </si>
  <si>
    <t>2944324</t>
  </si>
  <si>
    <t>7500000746</t>
  </si>
  <si>
    <t>8002509384</t>
  </si>
  <si>
    <t>0063t000012YbQxAAK</t>
  </si>
  <si>
    <t>93275094</t>
  </si>
  <si>
    <t>2943435</t>
  </si>
  <si>
    <t>7500000744</t>
  </si>
  <si>
    <t>8002509385</t>
  </si>
  <si>
    <t>0063t000012YbPzAAK</t>
  </si>
  <si>
    <t>93275095</t>
  </si>
  <si>
    <t>2943453</t>
  </si>
  <si>
    <t>7500000745</t>
  </si>
  <si>
    <t>8002509428</t>
  </si>
  <si>
    <t>COLGATE-PALMOLIVE COMERCIAL LTDA</t>
  </si>
  <si>
    <t>0063t000012YQqLAAW</t>
  </si>
  <si>
    <t>93275223</t>
  </si>
  <si>
    <t>2943777</t>
  </si>
  <si>
    <t>7500000787</t>
  </si>
  <si>
    <t>8002509387</t>
  </si>
  <si>
    <t>MAXMIX COMERCIAL LTDA</t>
  </si>
  <si>
    <t>0063t000012YQSEAA4</t>
  </si>
  <si>
    <t>93275099</t>
  </si>
  <si>
    <t>2943440</t>
  </si>
  <si>
    <t>7500000747</t>
  </si>
  <si>
    <t>8002509388</t>
  </si>
  <si>
    <t>MADEIRAMADEIRA COMERCIO ELETRONICO</t>
  </si>
  <si>
    <t>0063t000012YQQnAAO</t>
  </si>
  <si>
    <t>93275103</t>
  </si>
  <si>
    <t>2942282</t>
  </si>
  <si>
    <t>7500000748</t>
  </si>
  <si>
    <t>8002509265</t>
  </si>
  <si>
    <t>0063t000012XWZuAAO</t>
  </si>
  <si>
    <t>93200673</t>
  </si>
  <si>
    <t>2873645</t>
  </si>
  <si>
    <t>7500000681</t>
  </si>
  <si>
    <t>8002509429</t>
  </si>
  <si>
    <t>0063t000012YqDXAA0</t>
  </si>
  <si>
    <t>93275224</t>
  </si>
  <si>
    <t>2943779</t>
  </si>
  <si>
    <t>7500000788</t>
  </si>
  <si>
    <t>8002509125</t>
  </si>
  <si>
    <t>RECKITT BENCKISER HEALTH</t>
  </si>
  <si>
    <t>0063t000012Ppr9AAC</t>
  </si>
  <si>
    <t>93117682</t>
  </si>
  <si>
    <t>2806835</t>
  </si>
  <si>
    <t>7500000636</t>
  </si>
  <si>
    <t>8002509269</t>
  </si>
  <si>
    <t>0063t000012XlQvAAK</t>
  </si>
  <si>
    <t>93200677</t>
  </si>
  <si>
    <t>2865618</t>
  </si>
  <si>
    <t>7500000685</t>
  </si>
  <si>
    <t>8002509389</t>
  </si>
  <si>
    <t>0063t000012YSzpAAG</t>
  </si>
  <si>
    <t>93275107</t>
  </si>
  <si>
    <t>2943456</t>
  </si>
  <si>
    <t>7500000749</t>
  </si>
  <si>
    <t>8002509390</t>
  </si>
  <si>
    <t>0063t000013545DAAQ</t>
  </si>
  <si>
    <t>93275108</t>
  </si>
  <si>
    <t>2943474</t>
  </si>
  <si>
    <t>215985</t>
  </si>
  <si>
    <t>7500000750</t>
  </si>
  <si>
    <t>8002509391</t>
  </si>
  <si>
    <t>0063t000012YUaXAAW</t>
  </si>
  <si>
    <t>93275109</t>
  </si>
  <si>
    <t>2943430</t>
  </si>
  <si>
    <t>7500000751</t>
  </si>
  <si>
    <t>8002509392</t>
  </si>
  <si>
    <t>Moveis Carraro Ltda</t>
  </si>
  <si>
    <t>0063t000012YSwlAAG</t>
  </si>
  <si>
    <t>93275110</t>
  </si>
  <si>
    <t>2943454</t>
  </si>
  <si>
    <t>7500000752</t>
  </si>
  <si>
    <t>8002509275</t>
  </si>
  <si>
    <t>0063t000011ixKOAAY</t>
  </si>
  <si>
    <t>93200683</t>
  </si>
  <si>
    <t>2886130</t>
  </si>
  <si>
    <t>7500000687</t>
  </si>
  <si>
    <t>8002509430</t>
  </si>
  <si>
    <t>0063t000012QGgnAAG</t>
  </si>
  <si>
    <t>93275225</t>
  </si>
  <si>
    <t>2943771</t>
  </si>
  <si>
    <t>7500000789</t>
  </si>
  <si>
    <t>8002509274</t>
  </si>
  <si>
    <t>0063t000012XM5tAAG</t>
  </si>
  <si>
    <t>93200682</t>
  </si>
  <si>
    <t>2869543</t>
  </si>
  <si>
    <t>7500000686</t>
  </si>
  <si>
    <t>8002509396</t>
  </si>
  <si>
    <t>0063t000012YaamAAC</t>
  </si>
  <si>
    <t>93275114</t>
  </si>
  <si>
    <t>2943452</t>
  </si>
  <si>
    <t>7500000756</t>
  </si>
  <si>
    <t>8002509394</t>
  </si>
  <si>
    <t>0063t000012YafwAAC</t>
  </si>
  <si>
    <t>93275112</t>
  </si>
  <si>
    <t>2943426</t>
  </si>
  <si>
    <t>7500000754</t>
  </si>
  <si>
    <t>8002509393</t>
  </si>
  <si>
    <t>0063t000012YaW1AAK</t>
  </si>
  <si>
    <t>93275111</t>
  </si>
  <si>
    <t>2943425</t>
  </si>
  <si>
    <t>7500000753</t>
  </si>
  <si>
    <t>8002509395</t>
  </si>
  <si>
    <t>0063t000012Yad7AAC</t>
  </si>
  <si>
    <t>93275113</t>
  </si>
  <si>
    <t>2943441</t>
  </si>
  <si>
    <t>7500000755</t>
  </si>
  <si>
    <t>8002509482</t>
  </si>
  <si>
    <t>0063t0000135eNPAAY</t>
  </si>
  <si>
    <t>93282965</t>
  </si>
  <si>
    <t>2972414</t>
  </si>
  <si>
    <t>7500000832</t>
  </si>
  <si>
    <t>8002509397</t>
  </si>
  <si>
    <t>JCS BRASIL ELETRODOMESTICOS LTDA</t>
  </si>
  <si>
    <t>0063t000012Xi48AAC</t>
  </si>
  <si>
    <t>93275115</t>
  </si>
  <si>
    <t>2943463</t>
  </si>
  <si>
    <t>7500000757</t>
  </si>
  <si>
    <t>8002509398</t>
  </si>
  <si>
    <t>0063t000012XLbrAAG</t>
  </si>
  <si>
    <t>93275116</t>
  </si>
  <si>
    <t>2943413</t>
  </si>
  <si>
    <t>7500000758</t>
  </si>
  <si>
    <t>8002509403</t>
  </si>
  <si>
    <t>0063t000012YpIvAAK</t>
  </si>
  <si>
    <t>93275121</t>
  </si>
  <si>
    <t>2943472</t>
  </si>
  <si>
    <t>215978</t>
  </si>
  <si>
    <t>7500000763</t>
  </si>
  <si>
    <t>8002509399</t>
  </si>
  <si>
    <t>0063t000012QPLwAAO</t>
  </si>
  <si>
    <t>93275117</t>
  </si>
  <si>
    <t>2943416</t>
  </si>
  <si>
    <t>215933</t>
  </si>
  <si>
    <t>7500000759</t>
  </si>
  <si>
    <t>8002509400</t>
  </si>
  <si>
    <t>0063t000012QKdVAAW</t>
  </si>
  <si>
    <t>93275118</t>
  </si>
  <si>
    <t>2943417</t>
  </si>
  <si>
    <t>215948</t>
  </si>
  <si>
    <t>7500000760</t>
  </si>
  <si>
    <t>8002509401</t>
  </si>
  <si>
    <t>0063t000012QKc8AAG</t>
  </si>
  <si>
    <t>93275119</t>
  </si>
  <si>
    <t>2943420</t>
  </si>
  <si>
    <t>215628</t>
  </si>
  <si>
    <t>7500000761</t>
  </si>
  <si>
    <t>8002509402</t>
  </si>
  <si>
    <t>0063t000012QKbGAAW</t>
  </si>
  <si>
    <t>93275120</t>
  </si>
  <si>
    <t>2943422</t>
  </si>
  <si>
    <t>215926</t>
  </si>
  <si>
    <t>7500000762</t>
  </si>
  <si>
    <t>8002509488</t>
  </si>
  <si>
    <t>0063t0000135k0nAAA</t>
  </si>
  <si>
    <t>93293687</t>
  </si>
  <si>
    <t>2988833</t>
  </si>
  <si>
    <t>7500000834</t>
  </si>
  <si>
    <t>8002509404</t>
  </si>
  <si>
    <t>0063t000012XU1KAAW</t>
  </si>
  <si>
    <t>93275122</t>
  </si>
  <si>
    <t>2943442</t>
  </si>
  <si>
    <t>7500000764</t>
  </si>
  <si>
    <t>8002507512</t>
  </si>
  <si>
    <t>0063t000010VFUDAA4</t>
  </si>
  <si>
    <t>92334985</t>
  </si>
  <si>
    <t>2138696</t>
  </si>
  <si>
    <t>GENOMMA | PAds Jun21</t>
  </si>
  <si>
    <t>7500000517</t>
  </si>
  <si>
    <t>8002509406</t>
  </si>
  <si>
    <t>META INDUSTRIA DE CALCADOS LTDA</t>
  </si>
  <si>
    <t>0063t000012XLaVAAW</t>
  </si>
  <si>
    <t>93275124</t>
  </si>
  <si>
    <t>2943415</t>
  </si>
  <si>
    <t>7500000765</t>
  </si>
  <si>
    <t>8002509407</t>
  </si>
  <si>
    <t>0063t000012XU1LAAW</t>
  </si>
  <si>
    <t>93275125</t>
  </si>
  <si>
    <t>2943443</t>
  </si>
  <si>
    <t>7500000766</t>
  </si>
  <si>
    <t>8002509431</t>
  </si>
  <si>
    <t>CALCENTER - CALCADOS CENTRO-OESTE L</t>
  </si>
  <si>
    <t>0063t00001355C9AAI</t>
  </si>
  <si>
    <t>93275226</t>
  </si>
  <si>
    <t>2943475</t>
  </si>
  <si>
    <t>7500000790</t>
  </si>
  <si>
    <t>8002509408</t>
  </si>
  <si>
    <t>0063t000012Ype8AAC</t>
  </si>
  <si>
    <t>93275126</t>
  </si>
  <si>
    <t>2943471</t>
  </si>
  <si>
    <t>7500000767</t>
  </si>
  <si>
    <t>8002509409</t>
  </si>
  <si>
    <t>0063t000012YaUPAA0</t>
  </si>
  <si>
    <t>93275127</t>
  </si>
  <si>
    <t>2943451</t>
  </si>
  <si>
    <t>369350</t>
  </si>
  <si>
    <t>7500000768</t>
  </si>
  <si>
    <t>8002509410</t>
  </si>
  <si>
    <t>Envision Ind. de Produtos Eletrônic</t>
  </si>
  <si>
    <t>0063t000012XTxDAAW</t>
  </si>
  <si>
    <t>93275128</t>
  </si>
  <si>
    <t>2943444</t>
  </si>
  <si>
    <t>7500000769</t>
  </si>
  <si>
    <t>8002509411</t>
  </si>
  <si>
    <t>0063t000012QKavAAG</t>
  </si>
  <si>
    <t>93275129</t>
  </si>
  <si>
    <t>2943421</t>
  </si>
  <si>
    <t>7500000770</t>
  </si>
  <si>
    <t>8002509303</t>
  </si>
  <si>
    <t>0063t000012QKa2AAG</t>
  </si>
  <si>
    <t>93200718</t>
  </si>
  <si>
    <t>2865578</t>
  </si>
  <si>
    <t>7500000696</t>
  </si>
  <si>
    <t>8002509304</t>
  </si>
  <si>
    <t>0063t000012YRPCAA4</t>
  </si>
  <si>
    <t>93200719</t>
  </si>
  <si>
    <t>2865612</t>
  </si>
  <si>
    <t>7500000697</t>
  </si>
  <si>
    <t>8002509432</t>
  </si>
  <si>
    <t>Electrolux do Brasil S/A</t>
  </si>
  <si>
    <t>0063t0000135KEWAA2</t>
  </si>
  <si>
    <t>93275227</t>
  </si>
  <si>
    <t>2943482</t>
  </si>
  <si>
    <t>7500000791</t>
  </si>
  <si>
    <t>8002509412</t>
  </si>
  <si>
    <t>Audi do Brasil Industria e Comercio</t>
  </si>
  <si>
    <t>0063t000012YdYtAAK</t>
  </si>
  <si>
    <t>93275130</t>
  </si>
  <si>
    <t>2943470</t>
  </si>
  <si>
    <t>11973</t>
  </si>
  <si>
    <t>7500000771</t>
  </si>
  <si>
    <t>8002508931</t>
  </si>
  <si>
    <t>0063t000011klbMAAQ</t>
  </si>
  <si>
    <t>92880514</t>
  </si>
  <si>
    <t>2666264</t>
  </si>
  <si>
    <t>7500000589</t>
  </si>
  <si>
    <t>8002509433</t>
  </si>
  <si>
    <t>0063t0000135JpvAAE</t>
  </si>
  <si>
    <t>93275228</t>
  </si>
  <si>
    <t>2943479</t>
  </si>
  <si>
    <t>7500000792</t>
  </si>
  <si>
    <t>8002508933</t>
  </si>
  <si>
    <t>0063t000011klbWAAQ</t>
  </si>
  <si>
    <t>92880516</t>
  </si>
  <si>
    <t>2666266</t>
  </si>
  <si>
    <t>7500000591</t>
  </si>
  <si>
    <t>8002509434</t>
  </si>
  <si>
    <t>0063t0000135JsVAAU</t>
  </si>
  <si>
    <t>93275229</t>
  </si>
  <si>
    <t>2943481</t>
  </si>
  <si>
    <t>7500000793</t>
  </si>
  <si>
    <t>8002508932</t>
  </si>
  <si>
    <t>0063t000011klbNAAQ</t>
  </si>
  <si>
    <t>92880515</t>
  </si>
  <si>
    <t>2666265</t>
  </si>
  <si>
    <t>7500000590</t>
  </si>
  <si>
    <t>8002508706</t>
  </si>
  <si>
    <t>0063t000011itjAAAQ</t>
  </si>
  <si>
    <t>92614278</t>
  </si>
  <si>
    <t>2545449</t>
  </si>
  <si>
    <t>7500000556</t>
  </si>
  <si>
    <t>8002509435</t>
  </si>
  <si>
    <t>0063t000012XTuKAAW</t>
  </si>
  <si>
    <t>93275230</t>
  </si>
  <si>
    <t>2943446</t>
  </si>
  <si>
    <t>7500000794</t>
  </si>
  <si>
    <t>8002509436</t>
  </si>
  <si>
    <t>0063t000012XU28AAG</t>
  </si>
  <si>
    <t>93275231</t>
  </si>
  <si>
    <t>2943447</t>
  </si>
  <si>
    <t>7500000795</t>
  </si>
  <si>
    <t>8002508451</t>
  </si>
  <si>
    <t>VINICIUS VICTOR DA SILVA CONSULTORI</t>
  </si>
  <si>
    <t>0063t0000104Y1pAAE</t>
  </si>
  <si>
    <t>92541669</t>
  </si>
  <si>
    <t>2343795</t>
  </si>
  <si>
    <t>7500000546</t>
  </si>
  <si>
    <t>8002509437</t>
  </si>
  <si>
    <t>D JUAN COLCHOES IND COMERCIO E SERV</t>
  </si>
  <si>
    <t>0063t000012YSdtAAG</t>
  </si>
  <si>
    <t>93275232</t>
  </si>
  <si>
    <t>2943450</t>
  </si>
  <si>
    <t>7500000796</t>
  </si>
  <si>
    <t>8002509309</t>
  </si>
  <si>
    <t>0063t000012QFqbAAG</t>
  </si>
  <si>
    <t>93200724</t>
  </si>
  <si>
    <t>2865600</t>
  </si>
  <si>
    <t>7500000698</t>
  </si>
  <si>
    <t>8002509438</t>
  </si>
  <si>
    <t>CRS BRANDS INDUSTRIA E COMERCIO LTD</t>
  </si>
  <si>
    <t>0063t000012XynBAAS</t>
  </si>
  <si>
    <t>93275233</t>
  </si>
  <si>
    <t>2943431</t>
  </si>
  <si>
    <t>7500000797</t>
  </si>
  <si>
    <t>8002509311</t>
  </si>
  <si>
    <t>0063t000012XlL7AAK</t>
  </si>
  <si>
    <t>93200726</t>
  </si>
  <si>
    <t>2865619</t>
  </si>
  <si>
    <t>7500000699</t>
  </si>
  <si>
    <t>8002509439</t>
  </si>
  <si>
    <t>0063t000012YSxHAAW</t>
  </si>
  <si>
    <t>93275234</t>
  </si>
  <si>
    <t>2943455</t>
  </si>
  <si>
    <t>202205</t>
  </si>
  <si>
    <t>7500000798</t>
  </si>
  <si>
    <t>8002509440</t>
  </si>
  <si>
    <t>0063t000012XoDzAAK</t>
  </si>
  <si>
    <t>93275235</t>
  </si>
  <si>
    <t>2943776</t>
  </si>
  <si>
    <t>7500000799</t>
  </si>
  <si>
    <t>8002509441</t>
  </si>
  <si>
    <t>USINA DE VENDAS SOLUCOES COMERCIAIS</t>
  </si>
  <si>
    <t>0063t0000135E1DAAU</t>
  </si>
  <si>
    <t>93275236</t>
  </si>
  <si>
    <t>2943478</t>
  </si>
  <si>
    <t>7500000800</t>
  </si>
  <si>
    <t>8002509442</t>
  </si>
  <si>
    <t>Asociación Gremial de Vinos de Chil</t>
  </si>
  <si>
    <t>0063t000012YaS4AAK</t>
  </si>
  <si>
    <t>93275238</t>
  </si>
  <si>
    <t>2943464</t>
  </si>
  <si>
    <t>7500000801</t>
  </si>
  <si>
    <t>8002509443</t>
  </si>
  <si>
    <t>0063t000012Y9ssAAC</t>
  </si>
  <si>
    <t>93275239</t>
  </si>
  <si>
    <t>2943428</t>
  </si>
  <si>
    <t>PO 154038</t>
  </si>
  <si>
    <t>7500000802</t>
  </si>
  <si>
    <t>8002509444</t>
  </si>
  <si>
    <t>Dilady Indústria e Comercio de</t>
  </si>
  <si>
    <t>0063t000012YObeAAG</t>
  </si>
  <si>
    <t>93275240</t>
  </si>
  <si>
    <t>2943436</t>
  </si>
  <si>
    <t>7500000803</t>
  </si>
  <si>
    <t>8002509316</t>
  </si>
  <si>
    <t>WYETH INDÚSTRIA FARMACÊUTICA LTDA.</t>
  </si>
  <si>
    <t>0063t000012XJ3AAAW</t>
  </si>
  <si>
    <t>93200731</t>
  </si>
  <si>
    <t>2869539</t>
  </si>
  <si>
    <t>7500000702</t>
  </si>
  <si>
    <t>8002509445</t>
  </si>
  <si>
    <t>0063t000012XJ3KAAW</t>
  </si>
  <si>
    <t>93275241</t>
  </si>
  <si>
    <t>2943770</t>
  </si>
  <si>
    <t>7500000804</t>
  </si>
  <si>
    <t>8002509446</t>
  </si>
  <si>
    <t>BOTICARIO PRODUTOS DE BELEZA LTDA</t>
  </si>
  <si>
    <t>0063t000012YQq6AAG</t>
  </si>
  <si>
    <t>93275242</t>
  </si>
  <si>
    <t>2943773</t>
  </si>
  <si>
    <t>7500000805</t>
  </si>
  <si>
    <t>8002509318</t>
  </si>
  <si>
    <t>0063t000012YAG5AAO</t>
  </si>
  <si>
    <t>93200733</t>
  </si>
  <si>
    <t>2869548</t>
  </si>
  <si>
    <t>7500000704</t>
  </si>
  <si>
    <t>8002509317</t>
  </si>
  <si>
    <t>0063t000012XM7BAAW</t>
  </si>
  <si>
    <t>93200732</t>
  </si>
  <si>
    <t>2869542</t>
  </si>
  <si>
    <t>7500000703</t>
  </si>
  <si>
    <t>8002509447</t>
  </si>
  <si>
    <t>BETTER DRINKS DISTRIBUIDOR E ATACAD</t>
  </si>
  <si>
    <t>0063t0000135IO5AAM</t>
  </si>
  <si>
    <t>93275243</t>
  </si>
  <si>
    <t>2943483</t>
  </si>
  <si>
    <t>7500000806</t>
  </si>
  <si>
    <t>8002509448</t>
  </si>
  <si>
    <t>NBCUNIVERSAL NETWORKS INTERNATIONAL</t>
  </si>
  <si>
    <t>0063t000012YkgKAAS</t>
  </si>
  <si>
    <t>93275244</t>
  </si>
  <si>
    <t>2943467</t>
  </si>
  <si>
    <t>7500000807</t>
  </si>
  <si>
    <t>8002509449</t>
  </si>
  <si>
    <t>HYUNDAI MOTOR BRASIL MONTADORA.</t>
  </si>
  <si>
    <t>0063t000012XLatAAG</t>
  </si>
  <si>
    <t>93275245</t>
  </si>
  <si>
    <t>2943412</t>
  </si>
  <si>
    <t>7500000808</t>
  </si>
  <si>
    <t>8002509413</t>
  </si>
  <si>
    <t>0063t000012PsKyAAK</t>
  </si>
  <si>
    <t>93275131</t>
  </si>
  <si>
    <t>2916969</t>
  </si>
  <si>
    <t>7025052</t>
  </si>
  <si>
    <t>7500000772</t>
  </si>
  <si>
    <t>8002509347</t>
  </si>
  <si>
    <t>DELL COMPUTADORES DO BRASIL LTDA</t>
  </si>
  <si>
    <t>0063t00001353e3AAA</t>
  </si>
  <si>
    <t>93221741</t>
  </si>
  <si>
    <t>2907913</t>
  </si>
  <si>
    <t>7500000714</t>
  </si>
  <si>
    <t>8002509450</t>
  </si>
  <si>
    <t>0063t000012YYJeAAO</t>
  </si>
  <si>
    <t>93275246</t>
  </si>
  <si>
    <t>2943461</t>
  </si>
  <si>
    <t>7500000809</t>
  </si>
  <si>
    <t>8002509483</t>
  </si>
  <si>
    <t>0063t0000135ismAAA</t>
  </si>
  <si>
    <t>93282967</t>
  </si>
  <si>
    <t>2974130</t>
  </si>
  <si>
    <t>7500000833</t>
  </si>
  <si>
    <t>8002508947</t>
  </si>
  <si>
    <t>0063t000011jfv3AAA</t>
  </si>
  <si>
    <t>92880532</t>
  </si>
  <si>
    <t>2666246</t>
  </si>
  <si>
    <t>7500000594</t>
  </si>
  <si>
    <t>8002509451</t>
  </si>
  <si>
    <t>0063t000012YPDgAAO</t>
  </si>
  <si>
    <t>93275247</t>
  </si>
  <si>
    <t>2943457</t>
  </si>
  <si>
    <t>7500000810</t>
  </si>
  <si>
    <t>8002509452</t>
  </si>
  <si>
    <t>0063t0000135JqkAAE</t>
  </si>
  <si>
    <t>93275248</t>
  </si>
  <si>
    <t>2943480</t>
  </si>
  <si>
    <t>7500000811</t>
  </si>
  <si>
    <t>8002509321</t>
  </si>
  <si>
    <t>0063t000012P8pnAAC</t>
  </si>
  <si>
    <t>93200736</t>
  </si>
  <si>
    <t>2865576</t>
  </si>
  <si>
    <t>1700392660</t>
  </si>
  <si>
    <t>7500000706</t>
  </si>
  <si>
    <t>8002509323</t>
  </si>
  <si>
    <t>0063t000012XWkqAAG</t>
  </si>
  <si>
    <t>93200738</t>
  </si>
  <si>
    <t>2865622</t>
  </si>
  <si>
    <t>7500000708</t>
  </si>
  <si>
    <t>8002509454</t>
  </si>
  <si>
    <t>0063t000012YKilAAG</t>
  </si>
  <si>
    <t>93275250</t>
  </si>
  <si>
    <t>2943423</t>
  </si>
  <si>
    <t>7500000813</t>
  </si>
  <si>
    <t>8002509455</t>
  </si>
  <si>
    <t>0063t000012YKl1AAG</t>
  </si>
  <si>
    <t>93275251</t>
  </si>
  <si>
    <t>2943459</t>
  </si>
  <si>
    <t>7500000814</t>
  </si>
  <si>
    <t>8002509322</t>
  </si>
  <si>
    <t>0063t000012QFmEAAW</t>
  </si>
  <si>
    <t>93200737</t>
  </si>
  <si>
    <t>2865606</t>
  </si>
  <si>
    <t>7500000707</t>
  </si>
  <si>
    <t>8002509453</t>
  </si>
  <si>
    <t>0063t000012P8q2AAC</t>
  </si>
  <si>
    <t>93275249</t>
  </si>
  <si>
    <t>2943414</t>
  </si>
  <si>
    <t>7500000812</t>
  </si>
  <si>
    <t>8002509458</t>
  </si>
  <si>
    <t>0063t000012Y9shAAC</t>
  </si>
  <si>
    <t>93275254</t>
  </si>
  <si>
    <t>2943432</t>
  </si>
  <si>
    <t>7500000815</t>
  </si>
  <si>
    <t>8002508233</t>
  </si>
  <si>
    <t>0063t0000103uByAAI</t>
  </si>
  <si>
    <t>92481328</t>
  </si>
  <si>
    <t>2299774</t>
  </si>
  <si>
    <t>7500000538</t>
  </si>
  <si>
    <t>8002509459</t>
  </si>
  <si>
    <t>RENAULT DO BRASIL S.A</t>
  </si>
  <si>
    <t>0063t000012YrUAAA0</t>
  </si>
  <si>
    <t>93275255</t>
  </si>
  <si>
    <t>2943462</t>
  </si>
  <si>
    <t>208895</t>
  </si>
  <si>
    <t>7500000816</t>
  </si>
  <si>
    <t>8002509460</t>
  </si>
  <si>
    <t>0063t000012YqFiAAK</t>
  </si>
  <si>
    <t>93275256</t>
  </si>
  <si>
    <t>2943458</t>
  </si>
  <si>
    <t>7500000817</t>
  </si>
  <si>
    <t>@FR\Qno venc.@</t>
  </si>
  <si>
    <t>Cuenta</t>
  </si>
  <si>
    <t>Fe.contabilización</t>
  </si>
  <si>
    <t>Referencia</t>
  </si>
  <si>
    <t>Clase de documento</t>
  </si>
  <si>
    <t>Nº documento</t>
  </si>
  <si>
    <t>Nombre 1</t>
  </si>
  <si>
    <t>Símbolo vencimiento neto</t>
  </si>
  <si>
    <t>Vencimiento neto</t>
  </si>
  <si>
    <t>Importe en moneda doc.</t>
  </si>
  <si>
    <t>Moneda del documento</t>
  </si>
  <si>
    <t>Importe en moneda local</t>
  </si>
  <si>
    <t>Nº pedido cliente</t>
  </si>
  <si>
    <t>Valor neto</t>
  </si>
  <si>
    <t>Demora tras vencimiento neto</t>
  </si>
  <si>
    <t>Factura</t>
  </si>
  <si>
    <t>Documento de ventas</t>
  </si>
  <si>
    <t>Texto</t>
  </si>
  <si>
    <t>Doc.compensación</t>
  </si>
  <si>
    <t>Fecha compensación</t>
  </si>
  <si>
    <t>Cuenta de mayor</t>
  </si>
  <si>
    <t>9990051130POLIMPORT COMERCIO E EXPORTAÇÃO28757,69</t>
  </si>
  <si>
    <t>9990002285SAMSUNG ELETRONICA DA AMAZONIA LTDA-0,01</t>
  </si>
  <si>
    <t>9990002421BUD COMERCIO DE ELETRODOMESTICOS-6296</t>
  </si>
  <si>
    <t>9990003636LG ELETRONICS DO BRASIL LTDA64010,08</t>
  </si>
  <si>
    <t>9990003636LG ELETRONICS DO BRASIL LTDA75000</t>
  </si>
  <si>
    <t>9990003933Multilaser Industrial SA-93662</t>
  </si>
  <si>
    <t>9990003933Multilaser Industrial SA94500</t>
  </si>
  <si>
    <t>9990004078Lenovo Comercial e Distribuição Lim40000</t>
  </si>
  <si>
    <t>9990004078Lenovo Comercial e Distribuição Lim60439,88</t>
  </si>
  <si>
    <t>9990004265JOHNSON &amp; JOHNSON DO BRASIL INDUSTR55712,37</t>
  </si>
  <si>
    <t>9990004265JOHNSON &amp; JOHNSON DO BRASIL INDUSTR51472,62</t>
  </si>
  <si>
    <t>9990004265JOHNSON &amp; JOHNSON DO BRASIL INDUSTR-3200</t>
  </si>
  <si>
    <t>9990004535RECKITT BENCKISER (BRASIL) COMERCIA19966,99</t>
  </si>
  <si>
    <t>9990004535RECKITT BENCKISER (BRASIL) COMERCIA-2414,91</t>
  </si>
  <si>
    <t>9990004535RECKITT BENCKISER (BRASIL) COMERCIA90</t>
  </si>
  <si>
    <t>9990004535RECKITT BENCKISER (BRASIL) COMERCIA7835,03</t>
  </si>
  <si>
    <t>9990004591Seagate Technology LLC13102,96</t>
  </si>
  <si>
    <t>9990004591Seagate Technology LLC9186,13</t>
  </si>
  <si>
    <t>9990004591Seagate Technology LLC9605</t>
  </si>
  <si>
    <t>9990004591Seagate Technology LLC7062,8</t>
  </si>
  <si>
    <t>9990004591Seagate Technology LLC7539,58</t>
  </si>
  <si>
    <t>9990004591Seagate Technology LLC-4114,65</t>
  </si>
  <si>
    <t>9990004591Seagate Technology LLC7131,51</t>
  </si>
  <si>
    <t>9990004591Seagate Technology LLC5539,03</t>
  </si>
  <si>
    <t>9990004591Seagate Technology LLC4373,59</t>
  </si>
  <si>
    <t>9990004591Seagate Technology LLC89563</t>
  </si>
  <si>
    <t>9990004591Seagate Technology LLC18362,5</t>
  </si>
  <si>
    <t>9990004620DIAGEO BRASIL LTDA-742999,98</t>
  </si>
  <si>
    <t>9990004620DIAGEO BRASIL LTDA613480</t>
  </si>
  <si>
    <t>9990004620DIAGEO BRASIL LTDA110000</t>
  </si>
  <si>
    <t>9990004620DIAGEO BRASIL LTDA101483,78</t>
  </si>
  <si>
    <t>9990004620DIAGEO BRASIL LTDA715600,44</t>
  </si>
  <si>
    <t>9990004663Pernod Ricard Brasil Ind. e Com. Lt-27344</t>
  </si>
  <si>
    <t>9990004663Pernod Ricard Brasil Ind. e Com. Lt34944</t>
  </si>
  <si>
    <t>9990004711LOREAL BRASIL COMERCIAL DE COSMETIC150000</t>
  </si>
  <si>
    <t>9990004711LOREAL BRASIL COMERCIAL DE COSMETIC75000</t>
  </si>
  <si>
    <t>9990004882ELEGANCIA DISTRIBUIDORA DE COSMETIC40924</t>
  </si>
  <si>
    <t>9990004882ELEGANCIA DISTRIBUIDORA DE COSMETIC63784</t>
  </si>
  <si>
    <t>9990004882ELEGANCIA DISTRIBUIDORA DE COSMETIC29959,51</t>
  </si>
  <si>
    <t>9990004882ELEGANCIA DISTRIBUIDORA DE COSMETIC8682,51</t>
  </si>
  <si>
    <t>9990004882ELEGANCIA DISTRIBUIDORA DE COSMETIC1688,86</t>
  </si>
  <si>
    <t>9990004913MERCK SHARP &amp; DOHME SAUDE ANIMAL LT4449</t>
  </si>
  <si>
    <t>9990005187FRESNOMAQ INDUSTRIA DE MAQUINAS S A10000</t>
  </si>
  <si>
    <t>9990005188PROCTER &amp; GAMBLE INDUSTRIAL3156,62</t>
  </si>
  <si>
    <t>9990005190Epson do Brasil Indústria10132,72</t>
  </si>
  <si>
    <t>9990005281ALLIED TECNOLOGIA S.A.7073</t>
  </si>
  <si>
    <t>9990005282COMERCIO DE COMESTICOS PAIXAO PELA71051,8</t>
  </si>
  <si>
    <t>9990005282COMERCIO DE COMESTICOS PAIXAO PELA40858</t>
  </si>
  <si>
    <t>9990005328UNILEVER BRASIL LTDA16</t>
  </si>
  <si>
    <t>9990005328UNILEVER BRASIL LTDA6158</t>
  </si>
  <si>
    <t>9990005330CERAS JOHNSON LTDA20000</t>
  </si>
  <si>
    <t>9990005568TP-link Tecnologia do Brasil LTDA1376</t>
  </si>
  <si>
    <t>9990005570Kimberly Clark Brasil Ind. e Com4912</t>
  </si>
  <si>
    <t>9990005570Kimberly Clark Brasil Ind. e Com129959,46</t>
  </si>
  <si>
    <t>9990005570Kimberly Clark Brasil Ind. e Com2693</t>
  </si>
  <si>
    <t>9990005570Kimberly Clark Brasil Ind. e Com227</t>
  </si>
  <si>
    <t>9990005570Kimberly Clark Brasil Ind. e Com50000</t>
  </si>
  <si>
    <t>9990005570Kimberly Clark Brasil Ind. e Com1426,77</t>
  </si>
  <si>
    <t>9990005584HNK BR INDUSTRIA DE BEBIDAS LTDA.-0,3</t>
  </si>
  <si>
    <t>9990005587DANONE LTDA35998,72</t>
  </si>
  <si>
    <t>9990005587DANONE LTDA-4668</t>
  </si>
  <si>
    <t>9990005640BDF NIVEA LTDA182083,71</t>
  </si>
  <si>
    <t>9990005640BDF NIVEA LTDA140034,66</t>
  </si>
  <si>
    <t>9990005686NESTLE BRASIL TDA544999,97</t>
  </si>
  <si>
    <t>9990005686NESTLE BRASIL TDA-66000</t>
  </si>
  <si>
    <t>9990005686NESTLE BRASIL TDA44</t>
  </si>
  <si>
    <t>9990005686NESTLE BRASIL TDA26000</t>
  </si>
  <si>
    <t>9990005686NESTLE BRASIL TDA247000</t>
  </si>
  <si>
    <t>9990005686NESTLE BRASIL TDA80000</t>
  </si>
  <si>
    <t>9990005686NESTLE BRASIL TDA30128,99</t>
  </si>
  <si>
    <t>9990005686NESTLE BRASIL TDA16385,69</t>
  </si>
  <si>
    <t>9990005686NESTLE BRASIL TDA-233875,7</t>
  </si>
  <si>
    <t>9990005686NESTLE BRASIL TDA10000</t>
  </si>
  <si>
    <t>9990005686NESTLE BRASIL TDA47216,97</t>
  </si>
  <si>
    <t>9990005686NESTLE BRASIL TDA7999,82</t>
  </si>
  <si>
    <t>9990005771Sociedade Michelin de Participacoes-64397</t>
  </si>
  <si>
    <t>9990005771Sociedade Michelin de Participacoes24640</t>
  </si>
  <si>
    <t>9990005771Sociedade Michelin de Participacoes75000</t>
  </si>
  <si>
    <t>9990005804ITATIAIA MOVEIS S A2900</t>
  </si>
  <si>
    <t>9990005822CERVEJARIAS KAISER BRASIL S/A-0,01</t>
  </si>
  <si>
    <t>9990005838Hershey do Brasil Ltda.6552</t>
  </si>
  <si>
    <t>9990005838Hershey do Brasil Ltda.30000</t>
  </si>
  <si>
    <t>9990005838Hershey do Brasil Ltda.43375,34</t>
  </si>
  <si>
    <t>9990005838Hershey do Brasil Ltda.3353</t>
  </si>
  <si>
    <t>9990005902INTERFOOD IMPORTACAO LTDA.8953</t>
  </si>
  <si>
    <t>9990005933GREMIO NESTLE17020</t>
  </si>
  <si>
    <t>9990005933GREMIO NESTLE10000</t>
  </si>
  <si>
    <t>9990005970ALPARGATAS S.A.23929</t>
  </si>
  <si>
    <t>9990005970ALPARGATAS S.A.19997,22</t>
  </si>
  <si>
    <t>9990005978GENOMMA LABORATORIES DO BRASIL LTDA2586</t>
  </si>
  <si>
    <t>9990005978GENOMMA LABORATORIES DO BRASIL LTDA8361,09</t>
  </si>
  <si>
    <t>9990005982BLUE DIAMOND GROWERS159</t>
  </si>
  <si>
    <t>9990005982BLUE DIAMOND GROWERS123</t>
  </si>
  <si>
    <t>9990005982BLUE DIAMOND GROWERS40000,25</t>
  </si>
  <si>
    <t>9990006005MONDELEZ BRASIL LTDA22734</t>
  </si>
  <si>
    <t>9990006005MONDELEZ BRASIL LTDA20000</t>
  </si>
  <si>
    <t>9990006005MONDELEZ BRASIL LTDA30000</t>
  </si>
  <si>
    <t>9990006013DURACELL COMERCIAL E IMPORTADORA DO4064</t>
  </si>
  <si>
    <t>9990006055SIKA S A10245</t>
  </si>
  <si>
    <t>9990006080E NOZES COMERCIO PRODUTOS NATURAIS94519,47</t>
  </si>
  <si>
    <t>9990006080E NOZES COMERCIO PRODUTOS NATURAIS40000,02</t>
  </si>
  <si>
    <t>9990006080E NOZES COMERCIO PRODUTOS NATURAIS37829,27</t>
  </si>
  <si>
    <t>9990006080E NOZES COMERCIO PRODUTOS NATURAIS27657</t>
  </si>
  <si>
    <t>9990006080E NOZES COMERCIO PRODUTOS NATURAIS32099,44</t>
  </si>
  <si>
    <t>9990006141BR PARTNER EQUIPAMENTOS ELETRONICOS38455,75</t>
  </si>
  <si>
    <t>9990006143NESTLÉ STORES LTDA85862,15</t>
  </si>
  <si>
    <t>9990006143NESTLÉ STORES LTDA32779,26</t>
  </si>
  <si>
    <t>9990006143NESTLÉ STORES LTDA69960,11</t>
  </si>
  <si>
    <t>9990006143NESTLÉ STORES LTDA89288,09</t>
  </si>
  <si>
    <t>9990006181OMRON HEALTHCARE BRASIL INDUSTRIA E9751,62</t>
  </si>
  <si>
    <t>9990006183KNIT COMERCIO DE ARTIGOS ESPORTIVOS51332,4</t>
  </si>
  <si>
    <t>9990006187Nestlé Brasil LTDA2500</t>
  </si>
  <si>
    <t>9990006192Companhia Brasileira de Distribuiçã481880,8</t>
  </si>
  <si>
    <t>9990006240BACARDI MARTINI DO BRASIL INDUSTRIA40354</t>
  </si>
  <si>
    <t>9990006240BACARDI MARTINI DO BRASIL INDUSTRIA37152,53</t>
  </si>
  <si>
    <t>9990006244ARMAZEM BRASIL COMERCIO DE COUROS E-219</t>
  </si>
  <si>
    <t>9990006296ICONIC LUBRIFICANTES S.A-4003,58</t>
  </si>
  <si>
    <t>9990006297Elian Industria Textil LTDA48654</t>
  </si>
  <si>
    <t>9990006334SYNAPCOM COMERCIO ELETRONICO LTDA15054</t>
  </si>
  <si>
    <t>9990006461WCT Fitness ltda-185749,98</t>
  </si>
  <si>
    <t>9990006571ESTRELA DE OURO JOIAS E RELOGIOS LT30000</t>
  </si>
  <si>
    <t>9990006575DEPOSITO DOS COPOS LTDA16290</t>
  </si>
  <si>
    <t>9990006575DEPOSITO DOS COPOS LTDA13347</t>
  </si>
  <si>
    <t>9990008116Mercado Seller Consultoria Ltda20998</t>
  </si>
  <si>
    <t>9990008117VIVER DE ECOMMERCE NEGÓCIOS DIGITAI43000</t>
  </si>
  <si>
    <t>9990008118Eficaz Tecnologia e Serviços LTDA-5199,2</t>
  </si>
  <si>
    <t>9990008118Eficaz Tecnologia e Serviços LTDA519920</t>
  </si>
  <si>
    <t>9990008118Eficaz Tecnologia e Serviços LTDA-514721</t>
  </si>
  <si>
    <t>9990008186Heinz Brasil S.a.1634,57</t>
  </si>
  <si>
    <t>9990008187Campari do Brasil LTDA65379,35</t>
  </si>
  <si>
    <t>9990008197SOL-MILLENIUM MEDICAL INC.-19439</t>
  </si>
  <si>
    <t>9990008197SOL-MILLENIUM MEDICAL INC.4576</t>
  </si>
  <si>
    <t>9990008197SOL-MILLENIUM MEDICAL INC.17706</t>
  </si>
  <si>
    <t>9990008197SOL-MILLENIUM MEDICAL INC.16016,51</t>
  </si>
  <si>
    <t>9990008231PHILIPS DOMESTIC APPLIANCES DO BRAS20000</t>
  </si>
  <si>
    <t>9990008289Highland Park Comercio e Imp LTDA26164,05</t>
  </si>
  <si>
    <t>9990008289Highland Park Comercio e Imp LTDA5307</t>
  </si>
  <si>
    <t>9990008289Highland Park Comercio e Imp LTDA24414,4</t>
  </si>
  <si>
    <t>9990008376NEWNESS BEBIDAS820</t>
  </si>
  <si>
    <t>9990008384M DIAS BRANCO S.A. INDUSTRIA E COME6000</t>
  </si>
  <si>
    <t>9990008385M DIAS BRANCO S.A. INDUSTRIA E COME15000</t>
  </si>
  <si>
    <t>999000848725 BEST DISTRIBUIDORA DE ELETRONICO65959,93</t>
  </si>
  <si>
    <t>9990008530Nestle Brasil Ltda56088,79</t>
  </si>
  <si>
    <t>9990050983AMBEV S.A19995</t>
  </si>
  <si>
    <t>9990050983AMBEV S.A20000</t>
  </si>
  <si>
    <t>9990051165MICROSOFT DO BRASIL IMP COM SOFTWAR5213</t>
  </si>
  <si>
    <t>9990051206ROBERT BOSCH LIMITADA12000</t>
  </si>
  <si>
    <t>9990051241Zerbini do Brasil Ltda9435,02</t>
  </si>
  <si>
    <t>9990051287WEBFONES COMERCIO DE ARTIGOS DE46338,1</t>
  </si>
  <si>
    <t>9990051402FOREVER COMPANY COSMETICOS LTDA86363</t>
  </si>
  <si>
    <t>9990051402FOREVER COMPANY COSMETICOS LTDA291603,16</t>
  </si>
  <si>
    <t>9990051571AGP TECNOLOGIA EM INFORMATICA DO BR77738,78</t>
  </si>
  <si>
    <t>9990051571AGP TECNOLOGIA EM INFORMATICA DO BR47298,57</t>
  </si>
  <si>
    <t>9990051571AGP TECNOLOGIA EM INFORMATICA DO BR70624,8</t>
  </si>
  <si>
    <t>9990051593FORD MOTOR COMPANY BRASIL LTDA-0,22</t>
  </si>
  <si>
    <t>5346905,06</t>
  </si>
  <si>
    <t>-4114,65</t>
  </si>
  <si>
    <t>9990000460SONY BRASIL LTDA4019,74</t>
  </si>
  <si>
    <t>9990002285SAMSUNG ELETRONICA DA AMAZONIA LTDA72105</t>
  </si>
  <si>
    <t>9990002285SAMSUNG ELETRONICA DA AMAZONIA LTDA3750</t>
  </si>
  <si>
    <t>9990002285SAMSUNG ELETRONICA DA AMAZONIA LTDA200864</t>
  </si>
  <si>
    <t>9990002285SAMSUNG ELETRONICA DA AMAZONIA LTDA6277,25</t>
  </si>
  <si>
    <t>9990002285SAMSUNG ELETRONICA DA AMAZONIA LTDA160651,35</t>
  </si>
  <si>
    <t>9990002285SAMSUNG ELETRONICA DA AMAZONIA LTDA10826,84</t>
  </si>
  <si>
    <t>9990002285SAMSUNG ELETRONICA DA AMAZONIA LTDA12689</t>
  </si>
  <si>
    <t>9990002285SAMSUNG ELETRONICA DA AMAZONIA LTDA162076,76</t>
  </si>
  <si>
    <t>9990002285SAMSUNG ELETRONICA DA AMAZONIA LTDA8373,75</t>
  </si>
  <si>
    <t>9990002285SAMSUNG ELETRONICA DA AMAZONIA LTDA145096,41</t>
  </si>
  <si>
    <t>9990002421BUD COMERCIO DE ELETRODOMESTICOS10000</t>
  </si>
  <si>
    <t>9990002903BELEZA. COM COMERCIO DE PRODUTOS DE4500</t>
  </si>
  <si>
    <t>9990003933Multilaser Industrial SA40000</t>
  </si>
  <si>
    <t>9990003933Multilaser Industrial SA54500</t>
  </si>
  <si>
    <t>9990003933Multilaser Industrial SA1306</t>
  </si>
  <si>
    <t>9990003999FAGANELLO COMERCIO E SERVICOS EIREL45200</t>
  </si>
  <si>
    <t>9990004075DOCE LAR G7 IMPORTACAO COMERCIO E D21000</t>
  </si>
  <si>
    <t>9990004078Lenovo Comercial e Distribuição Lim24782,96</t>
  </si>
  <si>
    <t>9990004265JOHNSON &amp; JOHNSON DO BRASIL INDUSTR24844</t>
  </si>
  <si>
    <t>9990004265JOHNSON &amp; JOHNSON DO BRASIL INDUSTR35000</t>
  </si>
  <si>
    <t>9990004265JOHNSON &amp; JOHNSON DO BRASIL INDUSTR27914,66</t>
  </si>
  <si>
    <t>9990004265JOHNSON &amp; JOHNSON DO BRASIL INDUSTR17184</t>
  </si>
  <si>
    <t>9990004417JACOBS DOUWE EGBERTS BR COMERCIALIZ9804</t>
  </si>
  <si>
    <t>9990004535RECKITT BENCKISER (BRASIL) COMERCIA37698,68</t>
  </si>
  <si>
    <t>9990004591Seagate Technology LLC3359</t>
  </si>
  <si>
    <t>9990004591Seagate Technology LLC50929,18</t>
  </si>
  <si>
    <t>9990004591Seagate Technology LLC-7649,55</t>
  </si>
  <si>
    <t>9990004620DIAGEO BRASIL LTDA19068</t>
  </si>
  <si>
    <t>9990004620DIAGEO BRASIL LTDA272060,02</t>
  </si>
  <si>
    <t>9990004620DIAGEO BRASIL LTDA11927</t>
  </si>
  <si>
    <t>9990004620DIAGEO BRASIL LTDA460986,6</t>
  </si>
  <si>
    <t>9990004711LOREAL BRASIL COMERCIAL DE COSMETIC22169,67</t>
  </si>
  <si>
    <t>9990004711LOREAL BRASIL COMERCIAL DE COSMETIC120436</t>
  </si>
  <si>
    <t>9990004711LOREAL BRASIL COMERCIAL DE COSMETIC36553,36</t>
  </si>
  <si>
    <t>9990004711LOREAL BRASIL COMERCIAL DE COSMETIC45740,08</t>
  </si>
  <si>
    <t>9990004711LOREAL BRASIL COMERCIAL DE COSMETIC6283,64</t>
  </si>
  <si>
    <t>9990004711LOREAL BRASIL COMERCIAL DE COSMETIC19606</t>
  </si>
  <si>
    <t>9990004711LOREAL BRASIL COMERCIAL DE COSMETIC36329</t>
  </si>
  <si>
    <t>9990004711LOREAL BRASIL COMERCIAL DE COSMETIC18570,36</t>
  </si>
  <si>
    <t>9990004711LOREAL BRASIL COMERCIAL DE COSMETIC39610,46</t>
  </si>
  <si>
    <t>9990004711LOREAL BRASIL COMERCIAL DE COSMETIC38522,09</t>
  </si>
  <si>
    <t>9990004711LOREAL BRASIL COMERCIAL DE COSMETIC76262,4</t>
  </si>
  <si>
    <t>9990004711LOREAL BRASIL COMERCIAL DE COSMETIC10892,88</t>
  </si>
  <si>
    <t>9990004711LOREAL BRASIL COMERCIAL DE COSMETIC69532,33</t>
  </si>
  <si>
    <t>9990004711LOREAL BRASIL COMERCIAL DE COSMETIC5153,79</t>
  </si>
  <si>
    <t>9990004711LOREAL BRASIL COMERCIAL DE COSMETIC22345,04</t>
  </si>
  <si>
    <t>9990004711LOREAL BRASIL COMERCIAL DE COSMETIC1507</t>
  </si>
  <si>
    <t>9990004711LOREAL BRASIL COMERCIAL DE COSMETIC78000</t>
  </si>
  <si>
    <t>9990004711LOREAL BRASIL COMERCIAL DE COSMETIC23357,86</t>
  </si>
  <si>
    <t>9990004711LOREAL BRASIL COMERCIAL DE COSMETIC33701,82</t>
  </si>
  <si>
    <t>9990004711LOREAL BRASIL COMERCIAL DE COSMETIC144189,23</t>
  </si>
  <si>
    <t>9990004882ELEGANCIA DISTRIBUIDORA DE COSMETIC20000</t>
  </si>
  <si>
    <t>9990004882ELEGANCIA DISTRIBUIDORA DE COSMETIC7500</t>
  </si>
  <si>
    <t>9990004882ELEGANCIA DISTRIBUIDORA DE COSMETIC6634,51</t>
  </si>
  <si>
    <t>9990004882ELEGANCIA DISTRIBUIDORA DE COSMETIC35000</t>
  </si>
  <si>
    <t>9990004882ELEGANCIA DISTRIBUIDORA DE COSMETIC10000</t>
  </si>
  <si>
    <t>9990004935BDB FERRAMENTAS DO BRASIL LTDA.567779,1</t>
  </si>
  <si>
    <t>9990004935BDB FERRAMENTAS DO BRASIL LTDA.50000</t>
  </si>
  <si>
    <t>9990005188PROCTER &amp; GAMBLE INDUSTRIAL343,51</t>
  </si>
  <si>
    <t>9990005188PROCTER &amp; GAMBLE INDUSTRIAL1363,85</t>
  </si>
  <si>
    <t>9990005188PROCTER &amp; GAMBLE INDUSTRIAL7239</t>
  </si>
  <si>
    <t>9990005188PROCTER &amp; GAMBLE INDUSTRIAL10000</t>
  </si>
  <si>
    <t>9990005188PROCTER &amp; GAMBLE INDUSTRIAL78482,43</t>
  </si>
  <si>
    <t>9990005188PROCTER &amp; GAMBLE INDUSTRIAL340,06</t>
  </si>
  <si>
    <t>9990005188PROCTER &amp; GAMBLE INDUSTRIAL1917,16</t>
  </si>
  <si>
    <t>9990005188PROCTER &amp; GAMBLE INDUSTRIAL103,94</t>
  </si>
  <si>
    <t>9990005188PROCTER &amp; GAMBLE INDUSTRIAL10474,51</t>
  </si>
  <si>
    <t>9990005188PROCTER &amp; GAMBLE INDUSTRIAL916,31</t>
  </si>
  <si>
    <t>9990005188PROCTER &amp; GAMBLE INDUSTRIAL2116,99</t>
  </si>
  <si>
    <t>9990005188PROCTER &amp; GAMBLE INDUSTRIAL5124,35</t>
  </si>
  <si>
    <t>9990005188PROCTER &amp; GAMBLE INDUSTRIAL818</t>
  </si>
  <si>
    <t>9990005188PROCTER &amp; GAMBLE INDUSTRIAL51997,41</t>
  </si>
  <si>
    <t>9990005188PROCTER &amp; GAMBLE INDUSTRIAL1600,42</t>
  </si>
  <si>
    <t>9990005221PUIG BRASIL COMERC DE PERFUMES LTDA9994</t>
  </si>
  <si>
    <t>9990005234Intel Corporation237865,42</t>
  </si>
  <si>
    <t>9990005234Intel Corporation210100</t>
  </si>
  <si>
    <t>9990005234Intel Corporation163946,25</t>
  </si>
  <si>
    <t>9990005234Intel Corporation-8379,89</t>
  </si>
  <si>
    <t>9990005281ALLIED TECNOLOGIA S.A.8927</t>
  </si>
  <si>
    <t>9990005281ALLIED TECNOLOGIA S.A.49989,57</t>
  </si>
  <si>
    <t>9990005281ALLIED TECNOLOGIA S.A.41073</t>
  </si>
  <si>
    <t>9990005282COMERCIO DE COMESTICOS PAIXAO PELA8600</t>
  </si>
  <si>
    <t>9990005292ESSITY DO BRASIL INDUSTRIA E COMÉRC1094</t>
  </si>
  <si>
    <t>9990005292ESSITY DO BRASIL INDUSTRIA E COMÉRC4865</t>
  </si>
  <si>
    <t>9990005292ESSITY DO BRASIL INDUSTRIA E COMÉRC1467</t>
  </si>
  <si>
    <t>9990005358COLGATE-PALMOLIVE COMERCIAL LTDA60000</t>
  </si>
  <si>
    <t>9990005484MAXMIX COMERCIAL LTDA20000</t>
  </si>
  <si>
    <t>9990005566MADEIRAMADEIRA COMERCIO ELETRONICO15000</t>
  </si>
  <si>
    <t>9990005570Kimberly Clark Brasil Ind. e Com25000</t>
  </si>
  <si>
    <t>9990005571RECKITT BENCKISER HEALTH13500</t>
  </si>
  <si>
    <t>9990005571RECKITT BENCKISER HEALTH10062</t>
  </si>
  <si>
    <t>9990005571RECKITT BENCKISER HEALTH10000</t>
  </si>
  <si>
    <t>9990005584HNK BR INDUSTRIA DE BEBIDAS LTDA.95000</t>
  </si>
  <si>
    <t>9990005587DANONE LTDA18370,48</t>
  </si>
  <si>
    <t>9990005616Moveis Carraro Ltda35000</t>
  </si>
  <si>
    <t>9990005640BDF NIVEA LTDA20000</t>
  </si>
  <si>
    <t>9990005640BDF NIVEA LTDA168904</t>
  </si>
  <si>
    <t>9990005640BDF NIVEA LTDA112539</t>
  </si>
  <si>
    <t>9990005686NESTLE BRASIL TDA7995</t>
  </si>
  <si>
    <t>9990005686NESTLE BRASIL TDA22436,09</t>
  </si>
  <si>
    <t>9990005686NESTLE BRASIL TDA35000</t>
  </si>
  <si>
    <t>9990005686NESTLE BRASIL TDA147</t>
  </si>
  <si>
    <t>9990005730JCS BRASIL ELETRODOMESTICOS LTDA2272</t>
  </si>
  <si>
    <t>9990005771Sociedade Michelin de Participacoes27000</t>
  </si>
  <si>
    <t>9990005822CERVEJARIAS KAISER BRASIL S/A75000</t>
  </si>
  <si>
    <t>9990005822CERVEJARIAS KAISER BRASIL S/A351452,8</t>
  </si>
  <si>
    <t>9990005822CERVEJARIAS KAISER BRASIL S/A237041,2</t>
  </si>
  <si>
    <t>9990005822CERVEJARIAS KAISER BRASIL S/A126141,62</t>
  </si>
  <si>
    <t>9990005822CERVEJARIAS KAISER BRASIL S/A44553,7</t>
  </si>
  <si>
    <t>9990005838Hershey do Brasil Ltda.14060</t>
  </si>
  <si>
    <t>9990005838Hershey do Brasil Ltda.3238</t>
  </si>
  <si>
    <t>9990005978GENOMMA LABORATORIES DO BRASIL LTDA1054,37</t>
  </si>
  <si>
    <t>9990006006META INDUSTRIA DE CALCADOS LTDA47812</t>
  </si>
  <si>
    <t>9990006055SIKA S A3891</t>
  </si>
  <si>
    <t>9990006086CALCENTER - CALCADOS CENTRO-OESTE L8077</t>
  </si>
  <si>
    <t>9990006141BR PARTNER EQUIPAMENTOS ELETRONICOS1054,01</t>
  </si>
  <si>
    <t>9990006143NESTLÉ STORES LTDA9212</t>
  </si>
  <si>
    <t>9990006149Envision Ind. de Produtos Eletrônic2000</t>
  </si>
  <si>
    <t>9990006192Companhia Brasileira de Distribuiçã370000</t>
  </si>
  <si>
    <t>9990006192Companhia Brasileira de Distribuiçã325000</t>
  </si>
  <si>
    <t>9990006192Companhia Brasileira de Distribuiçã189600</t>
  </si>
  <si>
    <t>9990006222Electrolux do Brasil S/A5000</t>
  </si>
  <si>
    <t>9990006243Audi do Brasil Industria e Comercio42092,99</t>
  </si>
  <si>
    <t>9990006334SYNAPCOM COMERCIO ELETRONICO LTDA15400</t>
  </si>
  <si>
    <t>9990006334SYNAPCOM COMERCIO ELETRONICO LTDA6000</t>
  </si>
  <si>
    <t>9990006334SYNAPCOM COMERCIO ELETRONICO LTDA10000</t>
  </si>
  <si>
    <t>9990006334SYNAPCOM COMERCIO ELETRONICO LTDA1206,55</t>
  </si>
  <si>
    <t>9990006334SYNAPCOM COMERCIO ELETRONICO LTDA25000</t>
  </si>
  <si>
    <t>9990006461WCT Fitness ltda742999,92</t>
  </si>
  <si>
    <t>9990006575DEPOSITO DOS COPOS LTDA6542</t>
  </si>
  <si>
    <t>9990006575DEPOSITO DOS COPOS LTDA6881</t>
  </si>
  <si>
    <t>9990008108VINICIUS VICTOR DA SILVA CONSULTORI20998</t>
  </si>
  <si>
    <t>9990008148D JUAN COLCHOES IND COMERCIO E SERV100742,12</t>
  </si>
  <si>
    <t>9990008148D JUAN COLCHOES IND COMERCIO E SERV49588</t>
  </si>
  <si>
    <t>9990008185CRS BRANDS INDUSTRIA E COMERCIO LTD4362</t>
  </si>
  <si>
    <t>9990008187Campari do Brasil LTDA11350</t>
  </si>
  <si>
    <t>9990008187Campari do Brasil LTDA15062</t>
  </si>
  <si>
    <t>9990008197SOL-MILLENIUM MEDICAL INC.31000</t>
  </si>
  <si>
    <t>9990008233USINA DE VENDAS SOLUCOES COMERCIAIS153000</t>
  </si>
  <si>
    <t>9990008426Asociación Gremial de Vinos de Chil38111,81</t>
  </si>
  <si>
    <t>9990008530Nestle Brasil Ltda170533</t>
  </si>
  <si>
    <t>9990008536Dilady Indústria e Comercio de0,01</t>
  </si>
  <si>
    <t>9990008546WYETH INDÚSTRIA FARMACÊUTICA LTDA.104500</t>
  </si>
  <si>
    <t>9990008546WYETH INDÚSTRIA FARMACÊUTICA LTDA.111999,98</t>
  </si>
  <si>
    <t>9990008547BOTICARIO PRODUTOS DE BELEZA LTDA125733</t>
  </si>
  <si>
    <t>9990008547BOTICARIO PRODUTOS DE BELEZA LTDA72827</t>
  </si>
  <si>
    <t>9990008547BOTICARIO PRODUTOS DE BELEZA LTDA109923</t>
  </si>
  <si>
    <t>9990008577BETTER DRINKS DISTRIBUIDOR E ATACAD720,96</t>
  </si>
  <si>
    <t>9990008653NBCUNIVERSAL NETWORKS INTERNATIONAL14532,66</t>
  </si>
  <si>
    <t>9990050631HYUNDAI MOTOR BRASIL MONTADORA.131357</t>
  </si>
  <si>
    <t>9990050983AMBEV S.A17670,44</t>
  </si>
  <si>
    <t>9990051092DELL COMPUTADORES DO BRASIL LTDA32542,99</t>
  </si>
  <si>
    <t>9990051092DELL COMPUTADORES DO BRASIL LTDA50163,37</t>
  </si>
  <si>
    <t>9990051092DELL COMPUTADORES DO BRASIL LTDA31672,56</t>
  </si>
  <si>
    <t>9990051092DELL COMPUTADORES DO BRASIL LTDA152385,01</t>
  </si>
  <si>
    <t>9990051130POLIMPORT COMERCIO E EXPORTAÇÃO75876,67</t>
  </si>
  <si>
    <t>9990051130POLIMPORT COMERCIO E EXPORTAÇÃO59987,3</t>
  </si>
  <si>
    <t>9990051206ROBERT BOSCH LIMITADA15000</t>
  </si>
  <si>
    <t>9990051206ROBERT BOSCH LIMITADA10208,5</t>
  </si>
  <si>
    <t>9990051206ROBERT BOSCH LIMITADA8522,71</t>
  </si>
  <si>
    <t>9990051206ROBERT BOSCH LIMITADA8325</t>
  </si>
  <si>
    <t>9990051206ROBERT BOSCH LIMITADA9594,65</t>
  </si>
  <si>
    <t>9990051206ROBERT BOSCH LIMITADA18575</t>
  </si>
  <si>
    <t>9990051287WEBFONES COMERCIO DE ARTIGOS DE51492,07</t>
  </si>
  <si>
    <t>9990051402FOREVER COMPANY COSMETICOS LTDA76250</t>
  </si>
  <si>
    <t>9990051411RENAULT DO BRASIL S.A30000</t>
  </si>
  <si>
    <t>9990051571AGP TECNOLOGIA EM INFORMATICA DO BR20000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</si>
</sst>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quotePrefix="1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9</xdr:col>
      <xdr:colOff>152400</xdr:colOff>
      <xdr:row>1</xdr:row>
      <xdr:rowOff>133350</xdr:rowOff>
    </xdr:to>
    <xdr:pic>
      <xdr:nvPicPr>
        <xdr:cNvPr id="2" name="Picture@1V\Qvenc.@" descr="@1V\Qvenc.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</xdr:row>
      <xdr:rowOff>0</xdr:rowOff>
    </xdr:from>
    <xdr:to>
      <xdr:col>9</xdr:col>
      <xdr:colOff>152400</xdr:colOff>
      <xdr:row>2</xdr:row>
      <xdr:rowOff>133350</xdr:rowOff>
    </xdr:to>
    <xdr:pic>
      <xdr:nvPicPr>
        <xdr:cNvPr id="3" name="Picture@AG\QAtrasado@" descr="@AG\QAtras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9</xdr:col>
      <xdr:colOff>152400</xdr:colOff>
      <xdr:row>3</xdr:row>
      <xdr:rowOff>133350</xdr:rowOff>
    </xdr:to>
    <xdr:pic>
      <xdr:nvPicPr>
        <xdr:cNvPr id="4" name="Picture@AG\QAtrasado@" descr="@AG\QAtras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9</xdr:col>
      <xdr:colOff>152400</xdr:colOff>
      <xdr:row>4</xdr:row>
      <xdr:rowOff>133350</xdr:rowOff>
    </xdr:to>
    <xdr:pic>
      <xdr:nvPicPr>
        <xdr:cNvPr id="5" name="Picture@AG\QAtrasado@" descr="@AG\QAtras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9</xdr:col>
      <xdr:colOff>152400</xdr:colOff>
      <xdr:row>5</xdr:row>
      <xdr:rowOff>133350</xdr:rowOff>
    </xdr:to>
    <xdr:pic>
      <xdr:nvPicPr>
        <xdr:cNvPr id="6" name="Picture@AG\QAtrasado@" descr="@AG\QAtras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</xdr:row>
      <xdr:rowOff>0</xdr:rowOff>
    </xdr:from>
    <xdr:to>
      <xdr:col>9</xdr:col>
      <xdr:colOff>152400</xdr:colOff>
      <xdr:row>6</xdr:row>
      <xdr:rowOff>133350</xdr:rowOff>
    </xdr:to>
    <xdr:pic>
      <xdr:nvPicPr>
        <xdr:cNvPr id="7" name="Picture@AG\QAtrasado@" descr="@AG\QAtras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152400</xdr:colOff>
      <xdr:row>7</xdr:row>
      <xdr:rowOff>133350</xdr:rowOff>
    </xdr:to>
    <xdr:pic>
      <xdr:nvPicPr>
        <xdr:cNvPr id="8" name="Picture@AG\QAtrasado@" descr="@AG\QAtras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</xdr:row>
      <xdr:rowOff>0</xdr:rowOff>
    </xdr:from>
    <xdr:to>
      <xdr:col>9</xdr:col>
      <xdr:colOff>152400</xdr:colOff>
      <xdr:row>8</xdr:row>
      <xdr:rowOff>133350</xdr:rowOff>
    </xdr:to>
    <xdr:pic>
      <xdr:nvPicPr>
        <xdr:cNvPr id="9" name="Picture@AG\QAtrasado@" descr="@AG\QAtras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9</xdr:col>
      <xdr:colOff>152400</xdr:colOff>
      <xdr:row>9</xdr:row>
      <xdr:rowOff>133350</xdr:rowOff>
    </xdr:to>
    <xdr:pic>
      <xdr:nvPicPr>
        <xdr:cNvPr id="10" name="Picture@AG\QAtrasado@" descr="@AG\QAtras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</xdr:row>
      <xdr:rowOff>0</xdr:rowOff>
    </xdr:from>
    <xdr:to>
      <xdr:col>9</xdr:col>
      <xdr:colOff>152400</xdr:colOff>
      <xdr:row>10</xdr:row>
      <xdr:rowOff>133350</xdr:rowOff>
    </xdr:to>
    <xdr:pic>
      <xdr:nvPicPr>
        <xdr:cNvPr id="11" name="Picture@AG\QAtrasado@" descr="@AG\QAtras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133350</xdr:rowOff>
    </xdr:to>
    <xdr:pic>
      <xdr:nvPicPr>
        <xdr:cNvPr id="12" name="Picture@AG\QAtrasado@" descr="@AG\QAtras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133350</xdr:rowOff>
    </xdr:to>
    <xdr:pic>
      <xdr:nvPicPr>
        <xdr:cNvPr id="13" name="Picture@AG\QAtrasado@" descr="@AG\QAtrasad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14" name="Picture@AG\QAtrasado@" descr="@AG\QAtrasado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152400</xdr:colOff>
      <xdr:row>14</xdr:row>
      <xdr:rowOff>133350</xdr:rowOff>
    </xdr:to>
    <xdr:pic>
      <xdr:nvPicPr>
        <xdr:cNvPr id="15" name="Picture@AG\QAtrasado@" descr="@AG\QAtrasado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133350</xdr:rowOff>
    </xdr:to>
    <xdr:pic>
      <xdr:nvPicPr>
        <xdr:cNvPr id="16" name="Picture@AG\QAtrasado@" descr="@AG\QAtrasado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</xdr:row>
      <xdr:rowOff>0</xdr:rowOff>
    </xdr:from>
    <xdr:to>
      <xdr:col>9</xdr:col>
      <xdr:colOff>152400</xdr:colOff>
      <xdr:row>16</xdr:row>
      <xdr:rowOff>133350</xdr:rowOff>
    </xdr:to>
    <xdr:pic>
      <xdr:nvPicPr>
        <xdr:cNvPr id="17" name="Picture@AG\QAtrasado@" descr="@AG\QAtrasado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133350</xdr:rowOff>
    </xdr:to>
    <xdr:pic>
      <xdr:nvPicPr>
        <xdr:cNvPr id="18" name="Picture@AG\QAtrasado@" descr="@AG\QAtrasado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</xdr:row>
      <xdr:rowOff>0</xdr:rowOff>
    </xdr:from>
    <xdr:to>
      <xdr:col>9</xdr:col>
      <xdr:colOff>152400</xdr:colOff>
      <xdr:row>18</xdr:row>
      <xdr:rowOff>133350</xdr:rowOff>
    </xdr:to>
    <xdr:pic>
      <xdr:nvPicPr>
        <xdr:cNvPr id="19" name="Picture@AG\QAtrasado@" descr="@AG\QAtrasado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20" name="Picture@AG\QAtrasado@" descr="@AG\QAtrasado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133350</xdr:rowOff>
    </xdr:to>
    <xdr:pic>
      <xdr:nvPicPr>
        <xdr:cNvPr id="21" name="Picture@AG\QAtrasado@" descr="@AG\QAtrasado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22" name="Picture@AG\QAtrasado@" descr="@AG\QAtrasado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</xdr:row>
      <xdr:rowOff>0</xdr:rowOff>
    </xdr:from>
    <xdr:to>
      <xdr:col>9</xdr:col>
      <xdr:colOff>152400</xdr:colOff>
      <xdr:row>22</xdr:row>
      <xdr:rowOff>133350</xdr:rowOff>
    </xdr:to>
    <xdr:pic>
      <xdr:nvPicPr>
        <xdr:cNvPr id="23" name="Picture@AG\QAtrasado@" descr="@AG\QAtrasado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133350</xdr:rowOff>
    </xdr:to>
    <xdr:pic>
      <xdr:nvPicPr>
        <xdr:cNvPr id="24" name="Picture@AG\QAtrasado@" descr="@AG\QAtrasado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</xdr:row>
      <xdr:rowOff>0</xdr:rowOff>
    </xdr:from>
    <xdr:to>
      <xdr:col>9</xdr:col>
      <xdr:colOff>152400</xdr:colOff>
      <xdr:row>24</xdr:row>
      <xdr:rowOff>133350</xdr:rowOff>
    </xdr:to>
    <xdr:pic>
      <xdr:nvPicPr>
        <xdr:cNvPr id="25" name="Picture@AG\QAtrasado@" descr="@AG\QAtrasado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133350</xdr:rowOff>
    </xdr:to>
    <xdr:pic>
      <xdr:nvPicPr>
        <xdr:cNvPr id="26" name="Picture@AG\QAtrasado@" descr="@AG\QAtrasado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</xdr:row>
      <xdr:rowOff>0</xdr:rowOff>
    </xdr:from>
    <xdr:to>
      <xdr:col>9</xdr:col>
      <xdr:colOff>152400</xdr:colOff>
      <xdr:row>26</xdr:row>
      <xdr:rowOff>133350</xdr:rowOff>
    </xdr:to>
    <xdr:pic>
      <xdr:nvPicPr>
        <xdr:cNvPr id="27" name="Picture@AG\QAtrasado@" descr="@AG\QAtrasado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28" name="Picture@AG\QAtrasado@" descr="@AG\QAtrasado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133350</xdr:rowOff>
    </xdr:to>
    <xdr:pic>
      <xdr:nvPicPr>
        <xdr:cNvPr id="29" name="Picture@AG\QAtrasado@" descr="@AG\QAtrasado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133350</xdr:rowOff>
    </xdr:to>
    <xdr:pic>
      <xdr:nvPicPr>
        <xdr:cNvPr id="30" name="Picture@AG\QAtrasado@" descr="@AG\QAtrasado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133350</xdr:rowOff>
    </xdr:to>
    <xdr:pic>
      <xdr:nvPicPr>
        <xdr:cNvPr id="31" name="Picture@AG\QAtrasado@" descr="@AG\QAtrasado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133350</xdr:rowOff>
    </xdr:to>
    <xdr:pic>
      <xdr:nvPicPr>
        <xdr:cNvPr id="32" name="Picture@AG\QAtrasado@" descr="@AG\QAtrasado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133350</xdr:rowOff>
    </xdr:to>
    <xdr:pic>
      <xdr:nvPicPr>
        <xdr:cNvPr id="33" name="Picture@AG\QAtrasado@" descr="@AG\QAtrasado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133350</xdr:rowOff>
    </xdr:to>
    <xdr:pic>
      <xdr:nvPicPr>
        <xdr:cNvPr id="34" name="Picture@AG\QAtrasado@" descr="@AG\QAtrasado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133350</xdr:rowOff>
    </xdr:to>
    <xdr:pic>
      <xdr:nvPicPr>
        <xdr:cNvPr id="35" name="Picture@AG\QAtrasado@" descr="@AG\QAtrasado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133350</xdr:rowOff>
    </xdr:to>
    <xdr:pic>
      <xdr:nvPicPr>
        <xdr:cNvPr id="36" name="Picture@AG\QAtrasado@" descr="@AG\QAtrasado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133350</xdr:rowOff>
    </xdr:to>
    <xdr:pic>
      <xdr:nvPicPr>
        <xdr:cNvPr id="37" name="Picture@AG\QAtrasado@" descr="@AG\QAtrasado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38" name="Picture@AG\QAtrasado@" descr="@AG\QAtrasado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133350</xdr:rowOff>
    </xdr:to>
    <xdr:pic>
      <xdr:nvPicPr>
        <xdr:cNvPr id="39" name="Picture@AG\QAtrasado@" descr="@AG\QAtrasado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133350</xdr:rowOff>
    </xdr:to>
    <xdr:pic>
      <xdr:nvPicPr>
        <xdr:cNvPr id="40" name="Picture@AG\QAtrasado@" descr="@AG\QAtrasado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40</xdr:row>
      <xdr:rowOff>0</xdr:rowOff>
    </xdr:from>
    <xdr:to>
      <xdr:col>9</xdr:col>
      <xdr:colOff>152400</xdr:colOff>
      <xdr:row>40</xdr:row>
      <xdr:rowOff>133350</xdr:rowOff>
    </xdr:to>
    <xdr:pic>
      <xdr:nvPicPr>
        <xdr:cNvPr id="41" name="Picture@AG\QAtrasado@" descr="@AG\QAtrasado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133350</xdr:rowOff>
    </xdr:to>
    <xdr:pic>
      <xdr:nvPicPr>
        <xdr:cNvPr id="42" name="Picture@AG\QAtrasado@" descr="@AG\QAtrasado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9</xdr:col>
      <xdr:colOff>152400</xdr:colOff>
      <xdr:row>42</xdr:row>
      <xdr:rowOff>133350</xdr:rowOff>
    </xdr:to>
    <xdr:pic>
      <xdr:nvPicPr>
        <xdr:cNvPr id="43" name="Picture@AG\QAtrasado@" descr="@AG\QAtrasado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44" name="Picture@AG\QAtrasado@" descr="@AG\QAtrasado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152400</xdr:colOff>
      <xdr:row>44</xdr:row>
      <xdr:rowOff>133350</xdr:rowOff>
    </xdr:to>
    <xdr:pic>
      <xdr:nvPicPr>
        <xdr:cNvPr id="45" name="Picture@AG\QAtrasado@" descr="@AG\QAtrasado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133350</xdr:rowOff>
    </xdr:to>
    <xdr:pic>
      <xdr:nvPicPr>
        <xdr:cNvPr id="46" name="Picture@AG\QAtrasado@" descr="@AG\QAtrasado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46</xdr:row>
      <xdr:rowOff>0</xdr:rowOff>
    </xdr:from>
    <xdr:to>
      <xdr:col>9</xdr:col>
      <xdr:colOff>152400</xdr:colOff>
      <xdr:row>46</xdr:row>
      <xdr:rowOff>133350</xdr:rowOff>
    </xdr:to>
    <xdr:pic>
      <xdr:nvPicPr>
        <xdr:cNvPr id="47" name="Picture@AG\QAtrasado@" descr="@AG\QAtrasado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48" name="Picture@AG\QAtrasado@" descr="@AG\QAtrasado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48</xdr:row>
      <xdr:rowOff>0</xdr:rowOff>
    </xdr:from>
    <xdr:to>
      <xdr:col>9</xdr:col>
      <xdr:colOff>152400</xdr:colOff>
      <xdr:row>48</xdr:row>
      <xdr:rowOff>133350</xdr:rowOff>
    </xdr:to>
    <xdr:pic>
      <xdr:nvPicPr>
        <xdr:cNvPr id="49" name="Picture@AG\QAtrasado@" descr="@AG\QAtrasado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133350</xdr:rowOff>
    </xdr:to>
    <xdr:pic>
      <xdr:nvPicPr>
        <xdr:cNvPr id="50" name="Picture@AG\QAtrasado@" descr="@AG\QAtrasado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50</xdr:row>
      <xdr:rowOff>0</xdr:rowOff>
    </xdr:from>
    <xdr:to>
      <xdr:col>9</xdr:col>
      <xdr:colOff>152400</xdr:colOff>
      <xdr:row>50</xdr:row>
      <xdr:rowOff>133350</xdr:rowOff>
    </xdr:to>
    <xdr:pic>
      <xdr:nvPicPr>
        <xdr:cNvPr id="51" name="Picture@AG\QAtrasado@" descr="@AG\QAtrasado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52" name="Picture@AG\QAtrasado@" descr="@AG\QAtrasado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52</xdr:row>
      <xdr:rowOff>0</xdr:rowOff>
    </xdr:from>
    <xdr:to>
      <xdr:col>9</xdr:col>
      <xdr:colOff>152400</xdr:colOff>
      <xdr:row>52</xdr:row>
      <xdr:rowOff>133350</xdr:rowOff>
    </xdr:to>
    <xdr:pic>
      <xdr:nvPicPr>
        <xdr:cNvPr id="53" name="Picture@AG\QAtrasado@" descr="@AG\QAtrasado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133350</xdr:rowOff>
    </xdr:to>
    <xdr:pic>
      <xdr:nvPicPr>
        <xdr:cNvPr id="54" name="Picture@AG\QAtrasado@" descr="@AG\QAtrasado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152400</xdr:colOff>
      <xdr:row>54</xdr:row>
      <xdr:rowOff>133350</xdr:rowOff>
    </xdr:to>
    <xdr:pic>
      <xdr:nvPicPr>
        <xdr:cNvPr id="55" name="Picture@AG\QAtrasado@" descr="@AG\QAtrasado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133350</xdr:rowOff>
    </xdr:to>
    <xdr:pic>
      <xdr:nvPicPr>
        <xdr:cNvPr id="56" name="Picture@AG\QAtrasado@" descr="@AG\QAtrasado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56</xdr:row>
      <xdr:rowOff>0</xdr:rowOff>
    </xdr:from>
    <xdr:to>
      <xdr:col>9</xdr:col>
      <xdr:colOff>152400</xdr:colOff>
      <xdr:row>56</xdr:row>
      <xdr:rowOff>133350</xdr:rowOff>
    </xdr:to>
    <xdr:pic>
      <xdr:nvPicPr>
        <xdr:cNvPr id="57" name="Picture@AG\QAtrasado@" descr="@AG\QAtrasado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133350</xdr:rowOff>
    </xdr:to>
    <xdr:pic>
      <xdr:nvPicPr>
        <xdr:cNvPr id="58" name="Picture@AG\QAtrasado@" descr="@AG\QAtrasado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9</xdr:col>
      <xdr:colOff>152400</xdr:colOff>
      <xdr:row>58</xdr:row>
      <xdr:rowOff>133350</xdr:rowOff>
    </xdr:to>
    <xdr:pic>
      <xdr:nvPicPr>
        <xdr:cNvPr id="59" name="Picture@AG\QAtrasado@" descr="@AG\QAtrasado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133350</xdr:rowOff>
    </xdr:to>
    <xdr:pic>
      <xdr:nvPicPr>
        <xdr:cNvPr id="60" name="Picture@AG\QAtrasado@" descr="@AG\QAtrasado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60</xdr:row>
      <xdr:rowOff>0</xdr:rowOff>
    </xdr:from>
    <xdr:to>
      <xdr:col>9</xdr:col>
      <xdr:colOff>152400</xdr:colOff>
      <xdr:row>60</xdr:row>
      <xdr:rowOff>133350</xdr:rowOff>
    </xdr:to>
    <xdr:pic>
      <xdr:nvPicPr>
        <xdr:cNvPr id="61" name="Picture@AG\QAtrasado@" descr="@AG\QAtrasado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133350</xdr:rowOff>
    </xdr:to>
    <xdr:pic>
      <xdr:nvPicPr>
        <xdr:cNvPr id="62" name="Picture@AG\QAtrasado@" descr="@AG\QAtrasado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62</xdr:row>
      <xdr:rowOff>0</xdr:rowOff>
    </xdr:from>
    <xdr:to>
      <xdr:col>9</xdr:col>
      <xdr:colOff>152400</xdr:colOff>
      <xdr:row>62</xdr:row>
      <xdr:rowOff>133350</xdr:rowOff>
    </xdr:to>
    <xdr:pic>
      <xdr:nvPicPr>
        <xdr:cNvPr id="63" name="Picture@AG\QAtrasado@" descr="@AG\QAtrasado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64" name="Picture@AG\QAtrasado@" descr="@AG\QAtrasado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64</xdr:row>
      <xdr:rowOff>0</xdr:rowOff>
    </xdr:from>
    <xdr:to>
      <xdr:col>9</xdr:col>
      <xdr:colOff>152400</xdr:colOff>
      <xdr:row>64</xdr:row>
      <xdr:rowOff>133350</xdr:rowOff>
    </xdr:to>
    <xdr:pic>
      <xdr:nvPicPr>
        <xdr:cNvPr id="65" name="Picture@AG\QAtrasado@" descr="@AG\QAtrasado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133350</xdr:rowOff>
    </xdr:to>
    <xdr:pic>
      <xdr:nvPicPr>
        <xdr:cNvPr id="66" name="Picture@AG\QAtrasado@" descr="@AG\QAtrasado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66</xdr:row>
      <xdr:rowOff>0</xdr:rowOff>
    </xdr:from>
    <xdr:to>
      <xdr:col>9</xdr:col>
      <xdr:colOff>152400</xdr:colOff>
      <xdr:row>66</xdr:row>
      <xdr:rowOff>133350</xdr:rowOff>
    </xdr:to>
    <xdr:pic>
      <xdr:nvPicPr>
        <xdr:cNvPr id="67" name="Picture@AG\QAtrasado@" descr="@AG\QAtrasado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133350</xdr:rowOff>
    </xdr:to>
    <xdr:pic>
      <xdr:nvPicPr>
        <xdr:cNvPr id="68" name="Picture@AG\QAtrasado@" descr="@AG\QAtrasado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68</xdr:row>
      <xdr:rowOff>0</xdr:rowOff>
    </xdr:from>
    <xdr:to>
      <xdr:col>9</xdr:col>
      <xdr:colOff>152400</xdr:colOff>
      <xdr:row>68</xdr:row>
      <xdr:rowOff>133350</xdr:rowOff>
    </xdr:to>
    <xdr:pic>
      <xdr:nvPicPr>
        <xdr:cNvPr id="69" name="Picture@AG\QAtrasado@" descr="@AG\QAtrasado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133350</xdr:rowOff>
    </xdr:to>
    <xdr:pic>
      <xdr:nvPicPr>
        <xdr:cNvPr id="70" name="Picture@AG\QAtrasado@" descr="@AG\QAtrasado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70</xdr:row>
      <xdr:rowOff>0</xdr:rowOff>
    </xdr:from>
    <xdr:to>
      <xdr:col>9</xdr:col>
      <xdr:colOff>152400</xdr:colOff>
      <xdr:row>70</xdr:row>
      <xdr:rowOff>133350</xdr:rowOff>
    </xdr:to>
    <xdr:pic>
      <xdr:nvPicPr>
        <xdr:cNvPr id="71" name="Picture@AG\QAtrasado@" descr="@AG\QAtrasado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71</xdr:row>
      <xdr:rowOff>0</xdr:rowOff>
    </xdr:from>
    <xdr:to>
      <xdr:col>9</xdr:col>
      <xdr:colOff>152400</xdr:colOff>
      <xdr:row>71</xdr:row>
      <xdr:rowOff>133350</xdr:rowOff>
    </xdr:to>
    <xdr:pic>
      <xdr:nvPicPr>
        <xdr:cNvPr id="72" name="Picture@AG\QAtrasado@" descr="@AG\QAtrasado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72</xdr:row>
      <xdr:rowOff>0</xdr:rowOff>
    </xdr:from>
    <xdr:to>
      <xdr:col>9</xdr:col>
      <xdr:colOff>152400</xdr:colOff>
      <xdr:row>72</xdr:row>
      <xdr:rowOff>133350</xdr:rowOff>
    </xdr:to>
    <xdr:pic>
      <xdr:nvPicPr>
        <xdr:cNvPr id="73" name="Picture@AG\QAtrasado@" descr="@AG\QAtrasado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73</xdr:row>
      <xdr:rowOff>0</xdr:rowOff>
    </xdr:from>
    <xdr:to>
      <xdr:col>9</xdr:col>
      <xdr:colOff>152400</xdr:colOff>
      <xdr:row>73</xdr:row>
      <xdr:rowOff>133350</xdr:rowOff>
    </xdr:to>
    <xdr:pic>
      <xdr:nvPicPr>
        <xdr:cNvPr id="74" name="Picture@AG\QAtrasado@" descr="@AG\QAtrasado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74</xdr:row>
      <xdr:rowOff>0</xdr:rowOff>
    </xdr:from>
    <xdr:to>
      <xdr:col>9</xdr:col>
      <xdr:colOff>152400</xdr:colOff>
      <xdr:row>74</xdr:row>
      <xdr:rowOff>133350</xdr:rowOff>
    </xdr:to>
    <xdr:pic>
      <xdr:nvPicPr>
        <xdr:cNvPr id="75" name="Picture@AG\QAtrasado@" descr="@AG\QAtrasado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133350</xdr:rowOff>
    </xdr:to>
    <xdr:pic>
      <xdr:nvPicPr>
        <xdr:cNvPr id="76" name="Picture@AG\QAtrasado@" descr="@AG\QAtrasado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152400</xdr:colOff>
      <xdr:row>76</xdr:row>
      <xdr:rowOff>133350</xdr:rowOff>
    </xdr:to>
    <xdr:pic>
      <xdr:nvPicPr>
        <xdr:cNvPr id="77" name="Picture@AG\QAtrasado@" descr="@AG\QAtrasado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133350</xdr:rowOff>
    </xdr:to>
    <xdr:pic>
      <xdr:nvPicPr>
        <xdr:cNvPr id="78" name="Picture@AG\QAtrasado@" descr="@AG\QAtrasado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78</xdr:row>
      <xdr:rowOff>0</xdr:rowOff>
    </xdr:from>
    <xdr:to>
      <xdr:col>9</xdr:col>
      <xdr:colOff>152400</xdr:colOff>
      <xdr:row>78</xdr:row>
      <xdr:rowOff>133350</xdr:rowOff>
    </xdr:to>
    <xdr:pic>
      <xdr:nvPicPr>
        <xdr:cNvPr id="79" name="Picture@AG\QAtrasado@" descr="@AG\QAtrasado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133350</xdr:rowOff>
    </xdr:to>
    <xdr:pic>
      <xdr:nvPicPr>
        <xdr:cNvPr id="80" name="Picture@AG\QAtrasado@" descr="@AG\QAtrasado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80</xdr:row>
      <xdr:rowOff>0</xdr:rowOff>
    </xdr:from>
    <xdr:to>
      <xdr:col>9</xdr:col>
      <xdr:colOff>152400</xdr:colOff>
      <xdr:row>80</xdr:row>
      <xdr:rowOff>133350</xdr:rowOff>
    </xdr:to>
    <xdr:pic>
      <xdr:nvPicPr>
        <xdr:cNvPr id="81" name="Picture@AG\QAtrasado@" descr="@AG\QAtrasado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133350</xdr:rowOff>
    </xdr:to>
    <xdr:pic>
      <xdr:nvPicPr>
        <xdr:cNvPr id="82" name="Picture@AG\QAtrasado@" descr="@AG\QAtrasado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152400</xdr:colOff>
      <xdr:row>82</xdr:row>
      <xdr:rowOff>133350</xdr:rowOff>
    </xdr:to>
    <xdr:pic>
      <xdr:nvPicPr>
        <xdr:cNvPr id="83" name="Picture@AG\QAtrasado@" descr="@AG\QAtrasado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133350</xdr:rowOff>
    </xdr:to>
    <xdr:pic>
      <xdr:nvPicPr>
        <xdr:cNvPr id="84" name="Picture@AG\QAtrasado@" descr="@AG\QAtrasado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84</xdr:row>
      <xdr:rowOff>0</xdr:rowOff>
    </xdr:from>
    <xdr:to>
      <xdr:col>9</xdr:col>
      <xdr:colOff>152400</xdr:colOff>
      <xdr:row>84</xdr:row>
      <xdr:rowOff>133350</xdr:rowOff>
    </xdr:to>
    <xdr:pic>
      <xdr:nvPicPr>
        <xdr:cNvPr id="85" name="Picture@AG\QAtrasado@" descr="@AG\QAtrasado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133350</xdr:rowOff>
    </xdr:to>
    <xdr:pic>
      <xdr:nvPicPr>
        <xdr:cNvPr id="86" name="Picture@AG\QAtrasado@" descr="@AG\QAtrasado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152400</xdr:colOff>
      <xdr:row>86</xdr:row>
      <xdr:rowOff>133350</xdr:rowOff>
    </xdr:to>
    <xdr:pic>
      <xdr:nvPicPr>
        <xdr:cNvPr id="87" name="Picture@AG\QAtrasado@" descr="@AG\QAtrasado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133350</xdr:rowOff>
    </xdr:to>
    <xdr:pic>
      <xdr:nvPicPr>
        <xdr:cNvPr id="88" name="Picture@AG\QAtrasado@" descr="@AG\QAtrasado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152400</xdr:colOff>
      <xdr:row>88</xdr:row>
      <xdr:rowOff>133350</xdr:rowOff>
    </xdr:to>
    <xdr:pic>
      <xdr:nvPicPr>
        <xdr:cNvPr id="89" name="Picture@AG\QAtrasado@" descr="@AG\QAtrasado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89</xdr:row>
      <xdr:rowOff>0</xdr:rowOff>
    </xdr:from>
    <xdr:to>
      <xdr:col>9</xdr:col>
      <xdr:colOff>152400</xdr:colOff>
      <xdr:row>89</xdr:row>
      <xdr:rowOff>133350</xdr:rowOff>
    </xdr:to>
    <xdr:pic>
      <xdr:nvPicPr>
        <xdr:cNvPr id="90" name="Picture@AG\QAtrasado@" descr="@AG\QAtrasado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90</xdr:row>
      <xdr:rowOff>0</xdr:rowOff>
    </xdr:from>
    <xdr:to>
      <xdr:col>9</xdr:col>
      <xdr:colOff>152400</xdr:colOff>
      <xdr:row>90</xdr:row>
      <xdr:rowOff>133350</xdr:rowOff>
    </xdr:to>
    <xdr:pic>
      <xdr:nvPicPr>
        <xdr:cNvPr id="91" name="Picture@AG\QAtrasado@" descr="@AG\QAtrasado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91</xdr:row>
      <xdr:rowOff>0</xdr:rowOff>
    </xdr:from>
    <xdr:to>
      <xdr:col>9</xdr:col>
      <xdr:colOff>152400</xdr:colOff>
      <xdr:row>91</xdr:row>
      <xdr:rowOff>133350</xdr:rowOff>
    </xdr:to>
    <xdr:pic>
      <xdr:nvPicPr>
        <xdr:cNvPr id="92" name="Picture@AG\QAtrasado@" descr="@AG\QAtrasado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92</xdr:row>
      <xdr:rowOff>0</xdr:rowOff>
    </xdr:from>
    <xdr:to>
      <xdr:col>9</xdr:col>
      <xdr:colOff>152400</xdr:colOff>
      <xdr:row>92</xdr:row>
      <xdr:rowOff>133350</xdr:rowOff>
    </xdr:to>
    <xdr:pic>
      <xdr:nvPicPr>
        <xdr:cNvPr id="93" name="Picture@AG\QAtrasado@" descr="@AG\QAtrasado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93</xdr:row>
      <xdr:rowOff>0</xdr:rowOff>
    </xdr:from>
    <xdr:to>
      <xdr:col>9</xdr:col>
      <xdr:colOff>152400</xdr:colOff>
      <xdr:row>93</xdr:row>
      <xdr:rowOff>133350</xdr:rowOff>
    </xdr:to>
    <xdr:pic>
      <xdr:nvPicPr>
        <xdr:cNvPr id="94" name="Picture@AG\QAtrasado@" descr="@AG\QAtrasado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94</xdr:row>
      <xdr:rowOff>0</xdr:rowOff>
    </xdr:from>
    <xdr:to>
      <xdr:col>9</xdr:col>
      <xdr:colOff>152400</xdr:colOff>
      <xdr:row>94</xdr:row>
      <xdr:rowOff>133350</xdr:rowOff>
    </xdr:to>
    <xdr:pic>
      <xdr:nvPicPr>
        <xdr:cNvPr id="95" name="Picture@AG\QAtrasado@" descr="@AG\QAtrasado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133350</xdr:rowOff>
    </xdr:to>
    <xdr:pic>
      <xdr:nvPicPr>
        <xdr:cNvPr id="96" name="Picture@AG\QAtrasado@" descr="@AG\QAtrasado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96</xdr:row>
      <xdr:rowOff>0</xdr:rowOff>
    </xdr:from>
    <xdr:to>
      <xdr:col>9</xdr:col>
      <xdr:colOff>152400</xdr:colOff>
      <xdr:row>96</xdr:row>
      <xdr:rowOff>133350</xdr:rowOff>
    </xdr:to>
    <xdr:pic>
      <xdr:nvPicPr>
        <xdr:cNvPr id="97" name="Picture@AG\QAtrasado@" descr="@AG\QAtrasado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133350</xdr:rowOff>
    </xdr:to>
    <xdr:pic>
      <xdr:nvPicPr>
        <xdr:cNvPr id="98" name="Picture@AG\QAtrasado@" descr="@AG\QAtrasado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152400</xdr:colOff>
      <xdr:row>98</xdr:row>
      <xdr:rowOff>133350</xdr:rowOff>
    </xdr:to>
    <xdr:pic>
      <xdr:nvPicPr>
        <xdr:cNvPr id="99" name="Picture@AG\QAtrasado@" descr="@AG\QAtrasado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133350</xdr:rowOff>
    </xdr:to>
    <xdr:pic>
      <xdr:nvPicPr>
        <xdr:cNvPr id="100" name="Picture@AG\QAtrasado@" descr="@AG\QAtrasado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100</xdr:row>
      <xdr:rowOff>0</xdr:rowOff>
    </xdr:from>
    <xdr:to>
      <xdr:col>9</xdr:col>
      <xdr:colOff>152400</xdr:colOff>
      <xdr:row>100</xdr:row>
      <xdr:rowOff>133350</xdr:rowOff>
    </xdr:to>
    <xdr:pic>
      <xdr:nvPicPr>
        <xdr:cNvPr id="101" name="Picture@AG\QAtrasado@" descr="@AG\QAtrasado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101</xdr:row>
      <xdr:rowOff>0</xdr:rowOff>
    </xdr:from>
    <xdr:to>
      <xdr:col>9</xdr:col>
      <xdr:colOff>152400</xdr:colOff>
      <xdr:row>101</xdr:row>
      <xdr:rowOff>133350</xdr:rowOff>
    </xdr:to>
    <xdr:pic>
      <xdr:nvPicPr>
        <xdr:cNvPr id="102" name="Picture@AG\QAtrasado@" descr="@AG\QAtrasado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133350</xdr:rowOff>
    </xdr:to>
    <xdr:pic>
      <xdr:nvPicPr>
        <xdr:cNvPr id="103" name="Picture@AG\QAtrasado@" descr="@AG\QAtrasado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133350</xdr:rowOff>
    </xdr:to>
    <xdr:pic>
      <xdr:nvPicPr>
        <xdr:cNvPr id="104" name="Picture@AG\QAtrasado@" descr="@AG\QAtrasado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104</xdr:row>
      <xdr:rowOff>0</xdr:rowOff>
    </xdr:from>
    <xdr:to>
      <xdr:col>9</xdr:col>
      <xdr:colOff>152400</xdr:colOff>
      <xdr:row>104</xdr:row>
      <xdr:rowOff>133350</xdr:rowOff>
    </xdr:to>
    <xdr:pic>
      <xdr:nvPicPr>
        <xdr:cNvPr id="105" name="Picture@AG\QAtrasado@" descr="@AG\QAtrasado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133350</xdr:rowOff>
    </xdr:to>
    <xdr:pic>
      <xdr:nvPicPr>
        <xdr:cNvPr id="106" name="Picture@AG\QAtrasado@" descr="@AG\QAtrasado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106</xdr:row>
      <xdr:rowOff>0</xdr:rowOff>
    </xdr:from>
    <xdr:to>
      <xdr:col>9</xdr:col>
      <xdr:colOff>152400</xdr:colOff>
      <xdr:row>106</xdr:row>
      <xdr:rowOff>133350</xdr:rowOff>
    </xdr:to>
    <xdr:pic>
      <xdr:nvPicPr>
        <xdr:cNvPr id="107" name="Picture@AG\QAtrasado@" descr="@AG\QAtrasado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133350</xdr:rowOff>
    </xdr:to>
    <xdr:pic>
      <xdr:nvPicPr>
        <xdr:cNvPr id="108" name="Picture@AG\QAtrasado@" descr="@AG\QAtrasado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133350</xdr:rowOff>
    </xdr:to>
    <xdr:pic>
      <xdr:nvPicPr>
        <xdr:cNvPr id="109" name="Picture@AG\QAtrasado@" descr="@AG\QAtrasado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109</xdr:row>
      <xdr:rowOff>0</xdr:rowOff>
    </xdr:from>
    <xdr:to>
      <xdr:col>9</xdr:col>
      <xdr:colOff>152400</xdr:colOff>
      <xdr:row>109</xdr:row>
      <xdr:rowOff>133350</xdr:rowOff>
    </xdr:to>
    <xdr:pic>
      <xdr:nvPicPr>
        <xdr:cNvPr id="110" name="Picture@AG\QAtrasado@" descr="@AG\QAtrasado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133350</xdr:rowOff>
    </xdr:to>
    <xdr:pic>
      <xdr:nvPicPr>
        <xdr:cNvPr id="111" name="Picture@AG\QAtrasado@" descr="@AG\QAtrasado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111</xdr:row>
      <xdr:rowOff>0</xdr:rowOff>
    </xdr:from>
    <xdr:to>
      <xdr:col>9</xdr:col>
      <xdr:colOff>152400</xdr:colOff>
      <xdr:row>111</xdr:row>
      <xdr:rowOff>133350</xdr:rowOff>
    </xdr:to>
    <xdr:pic>
      <xdr:nvPicPr>
        <xdr:cNvPr id="112" name="Picture@AG\QAtrasado@" descr="@AG\QAtrasado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133350</xdr:rowOff>
    </xdr:to>
    <xdr:pic>
      <xdr:nvPicPr>
        <xdr:cNvPr id="113" name="Picture@AG\QAtrasado@" descr="@AG\QAtrasado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133350</xdr:rowOff>
    </xdr:to>
    <xdr:pic>
      <xdr:nvPicPr>
        <xdr:cNvPr id="114" name="Picture@AG\QAtrasado@" descr="@AG\QAtrasado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114</xdr:row>
      <xdr:rowOff>0</xdr:rowOff>
    </xdr:from>
    <xdr:to>
      <xdr:col>9</xdr:col>
      <xdr:colOff>152400</xdr:colOff>
      <xdr:row>114</xdr:row>
      <xdr:rowOff>133350</xdr:rowOff>
    </xdr:to>
    <xdr:pic>
      <xdr:nvPicPr>
        <xdr:cNvPr id="115" name="Picture@AG\QAtrasado@" descr="@AG\QAtrasado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133350</xdr:rowOff>
    </xdr:to>
    <xdr:pic>
      <xdr:nvPicPr>
        <xdr:cNvPr id="116" name="Picture@AG\QAtrasado@" descr="@AG\QAtrasado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133350</xdr:rowOff>
    </xdr:to>
    <xdr:pic>
      <xdr:nvPicPr>
        <xdr:cNvPr id="117" name="Picture@AG\QAtrasado@" descr="@AG\QAtrasado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133350</xdr:rowOff>
    </xdr:to>
    <xdr:pic>
      <xdr:nvPicPr>
        <xdr:cNvPr id="118" name="Picture@AG\QAtrasado@" descr="@AG\QAtrasado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133350</xdr:rowOff>
    </xdr:to>
    <xdr:pic>
      <xdr:nvPicPr>
        <xdr:cNvPr id="119" name="Picture@AG\QAtrasado@" descr="@AG\QAtrasado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133350</xdr:rowOff>
    </xdr:to>
    <xdr:pic>
      <xdr:nvPicPr>
        <xdr:cNvPr id="120" name="Picture@AG\QAtrasado@" descr="@AG\QAtrasado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133350</xdr:rowOff>
    </xdr:to>
    <xdr:pic>
      <xdr:nvPicPr>
        <xdr:cNvPr id="121" name="Picture@AG\QAtrasado@" descr="@AG\QAtrasado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121</xdr:row>
      <xdr:rowOff>0</xdr:rowOff>
    </xdr:from>
    <xdr:to>
      <xdr:col>9</xdr:col>
      <xdr:colOff>152400</xdr:colOff>
      <xdr:row>121</xdr:row>
      <xdr:rowOff>133350</xdr:rowOff>
    </xdr:to>
    <xdr:pic>
      <xdr:nvPicPr>
        <xdr:cNvPr id="122" name="Picture@AG\QAtrasado@" descr="@AG\QAtrasado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122</xdr:row>
      <xdr:rowOff>0</xdr:rowOff>
    </xdr:from>
    <xdr:to>
      <xdr:col>9</xdr:col>
      <xdr:colOff>152400</xdr:colOff>
      <xdr:row>122</xdr:row>
      <xdr:rowOff>133350</xdr:rowOff>
    </xdr:to>
    <xdr:pic>
      <xdr:nvPicPr>
        <xdr:cNvPr id="123" name="Picture@AG\QAtrasado@" descr="@AG\QAtrasado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123</xdr:row>
      <xdr:rowOff>0</xdr:rowOff>
    </xdr:from>
    <xdr:to>
      <xdr:col>9</xdr:col>
      <xdr:colOff>152400</xdr:colOff>
      <xdr:row>123</xdr:row>
      <xdr:rowOff>133350</xdr:rowOff>
    </xdr:to>
    <xdr:pic>
      <xdr:nvPicPr>
        <xdr:cNvPr id="124" name="Picture@AG\QAtrasado@" descr="@AG\QAtrasado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133350</xdr:rowOff>
    </xdr:to>
    <xdr:pic>
      <xdr:nvPicPr>
        <xdr:cNvPr id="125" name="Picture@AG\QAtrasado@" descr="@AG\QAtrasado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125</xdr:row>
      <xdr:rowOff>0</xdr:rowOff>
    </xdr:from>
    <xdr:to>
      <xdr:col>9</xdr:col>
      <xdr:colOff>152400</xdr:colOff>
      <xdr:row>125</xdr:row>
      <xdr:rowOff>133350</xdr:rowOff>
    </xdr:to>
    <xdr:pic>
      <xdr:nvPicPr>
        <xdr:cNvPr id="126" name="Picture@AG\QAtrasado@" descr="@AG\QAtrasado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133350</xdr:rowOff>
    </xdr:to>
    <xdr:pic>
      <xdr:nvPicPr>
        <xdr:cNvPr id="127" name="Picture@AG\QAtrasado@" descr="@AG\QAtrasado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152400</xdr:colOff>
      <xdr:row>127</xdr:row>
      <xdr:rowOff>133350</xdr:rowOff>
    </xdr:to>
    <xdr:pic>
      <xdr:nvPicPr>
        <xdr:cNvPr id="128" name="Picture@AG\QAtrasado@" descr="@AG\QAtrasado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133350</xdr:rowOff>
    </xdr:to>
    <xdr:pic>
      <xdr:nvPicPr>
        <xdr:cNvPr id="129" name="Picture@AG\QAtrasado@" descr="@AG\QAtrasado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129</xdr:row>
      <xdr:rowOff>0</xdr:rowOff>
    </xdr:from>
    <xdr:to>
      <xdr:col>9</xdr:col>
      <xdr:colOff>152400</xdr:colOff>
      <xdr:row>129</xdr:row>
      <xdr:rowOff>133350</xdr:rowOff>
    </xdr:to>
    <xdr:pic>
      <xdr:nvPicPr>
        <xdr:cNvPr id="130" name="Picture@AG\QAtrasado@" descr="@AG\QAtrasado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130</xdr:row>
      <xdr:rowOff>0</xdr:rowOff>
    </xdr:from>
    <xdr:to>
      <xdr:col>9</xdr:col>
      <xdr:colOff>152400</xdr:colOff>
      <xdr:row>130</xdr:row>
      <xdr:rowOff>133350</xdr:rowOff>
    </xdr:to>
    <xdr:pic>
      <xdr:nvPicPr>
        <xdr:cNvPr id="131" name="Picture@AG\QAtrasado@" descr="@AG\QAtrasado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131</xdr:row>
      <xdr:rowOff>0</xdr:rowOff>
    </xdr:from>
    <xdr:to>
      <xdr:col>9</xdr:col>
      <xdr:colOff>152400</xdr:colOff>
      <xdr:row>131</xdr:row>
      <xdr:rowOff>133350</xdr:rowOff>
    </xdr:to>
    <xdr:pic>
      <xdr:nvPicPr>
        <xdr:cNvPr id="132" name="Picture@AG\QAtrasado@" descr="@AG\QAtrasado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132</xdr:row>
      <xdr:rowOff>0</xdr:rowOff>
    </xdr:from>
    <xdr:to>
      <xdr:col>9</xdr:col>
      <xdr:colOff>152400</xdr:colOff>
      <xdr:row>132</xdr:row>
      <xdr:rowOff>133350</xdr:rowOff>
    </xdr:to>
    <xdr:pic>
      <xdr:nvPicPr>
        <xdr:cNvPr id="133" name="Picture@AG\QAtrasado@" descr="@AG\QAtrasado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133</xdr:row>
      <xdr:rowOff>0</xdr:rowOff>
    </xdr:from>
    <xdr:to>
      <xdr:col>9</xdr:col>
      <xdr:colOff>152400</xdr:colOff>
      <xdr:row>133</xdr:row>
      <xdr:rowOff>133350</xdr:rowOff>
    </xdr:to>
    <xdr:pic>
      <xdr:nvPicPr>
        <xdr:cNvPr id="134" name="Picture@AG\QAtrasado@" descr="@AG\QAtrasado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134</xdr:row>
      <xdr:rowOff>0</xdr:rowOff>
    </xdr:from>
    <xdr:to>
      <xdr:col>9</xdr:col>
      <xdr:colOff>152400</xdr:colOff>
      <xdr:row>134</xdr:row>
      <xdr:rowOff>133350</xdr:rowOff>
    </xdr:to>
    <xdr:pic>
      <xdr:nvPicPr>
        <xdr:cNvPr id="135" name="Picture@AG\QAtrasado@" descr="@AG\QAtrasado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133350</xdr:rowOff>
    </xdr:to>
    <xdr:pic>
      <xdr:nvPicPr>
        <xdr:cNvPr id="136" name="Picture@AG\QAtrasado@" descr="@AG\QAtrasado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136</xdr:row>
      <xdr:rowOff>0</xdr:rowOff>
    </xdr:from>
    <xdr:to>
      <xdr:col>9</xdr:col>
      <xdr:colOff>152400</xdr:colOff>
      <xdr:row>136</xdr:row>
      <xdr:rowOff>133350</xdr:rowOff>
    </xdr:to>
    <xdr:pic>
      <xdr:nvPicPr>
        <xdr:cNvPr id="137" name="Picture@AG\QAtrasado@" descr="@AG\QAtrasado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133350</xdr:rowOff>
    </xdr:to>
    <xdr:pic>
      <xdr:nvPicPr>
        <xdr:cNvPr id="138" name="Picture@AG\QAtrasado@" descr="@AG\QAtrasado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138</xdr:row>
      <xdr:rowOff>0</xdr:rowOff>
    </xdr:from>
    <xdr:to>
      <xdr:col>9</xdr:col>
      <xdr:colOff>152400</xdr:colOff>
      <xdr:row>138</xdr:row>
      <xdr:rowOff>133350</xdr:rowOff>
    </xdr:to>
    <xdr:pic>
      <xdr:nvPicPr>
        <xdr:cNvPr id="139" name="Picture@AG\QAtrasado@" descr="@AG\QAtrasado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133350</xdr:rowOff>
    </xdr:to>
    <xdr:pic>
      <xdr:nvPicPr>
        <xdr:cNvPr id="140" name="Picture@AG\QAtrasado@" descr="@AG\QAtrasado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140</xdr:row>
      <xdr:rowOff>0</xdr:rowOff>
    </xdr:from>
    <xdr:to>
      <xdr:col>9</xdr:col>
      <xdr:colOff>152400</xdr:colOff>
      <xdr:row>140</xdr:row>
      <xdr:rowOff>133350</xdr:rowOff>
    </xdr:to>
    <xdr:pic>
      <xdr:nvPicPr>
        <xdr:cNvPr id="141" name="Picture@AG\QAtrasado@" descr="@AG\QAtrasado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133350</xdr:rowOff>
    </xdr:to>
    <xdr:pic>
      <xdr:nvPicPr>
        <xdr:cNvPr id="142" name="Picture@AG\QAtrasado@" descr="@AG\QAtrasado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142</xdr:row>
      <xdr:rowOff>0</xdr:rowOff>
    </xdr:from>
    <xdr:to>
      <xdr:col>9</xdr:col>
      <xdr:colOff>152400</xdr:colOff>
      <xdr:row>142</xdr:row>
      <xdr:rowOff>133350</xdr:rowOff>
    </xdr:to>
    <xdr:pic>
      <xdr:nvPicPr>
        <xdr:cNvPr id="143" name="Picture@AG\QAtrasado@" descr="@AG\QAtrasado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133350</xdr:rowOff>
    </xdr:to>
    <xdr:pic>
      <xdr:nvPicPr>
        <xdr:cNvPr id="144" name="Picture@AG\QAtrasado@" descr="@AG\QAtrasado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144</xdr:row>
      <xdr:rowOff>0</xdr:rowOff>
    </xdr:from>
    <xdr:to>
      <xdr:col>9</xdr:col>
      <xdr:colOff>152400</xdr:colOff>
      <xdr:row>144</xdr:row>
      <xdr:rowOff>133350</xdr:rowOff>
    </xdr:to>
    <xdr:pic>
      <xdr:nvPicPr>
        <xdr:cNvPr id="145" name="Picture@AG\QAtrasado@" descr="@AG\QAtrasado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133350</xdr:rowOff>
    </xdr:to>
    <xdr:pic>
      <xdr:nvPicPr>
        <xdr:cNvPr id="146" name="Picture@AG\QAtrasado@" descr="@AG\QAtrasado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146</xdr:row>
      <xdr:rowOff>0</xdr:rowOff>
    </xdr:from>
    <xdr:to>
      <xdr:col>9</xdr:col>
      <xdr:colOff>152400</xdr:colOff>
      <xdr:row>146</xdr:row>
      <xdr:rowOff>133350</xdr:rowOff>
    </xdr:to>
    <xdr:pic>
      <xdr:nvPicPr>
        <xdr:cNvPr id="147" name="Picture@AG\QAtrasado@" descr="@AG\QAtrasado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133350</xdr:rowOff>
    </xdr:to>
    <xdr:pic>
      <xdr:nvPicPr>
        <xdr:cNvPr id="148" name="Picture@AG\QAtrasado@" descr="@AG\QAtrasado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148</xdr:row>
      <xdr:rowOff>0</xdr:rowOff>
    </xdr:from>
    <xdr:to>
      <xdr:col>9</xdr:col>
      <xdr:colOff>152400</xdr:colOff>
      <xdr:row>148</xdr:row>
      <xdr:rowOff>133350</xdr:rowOff>
    </xdr:to>
    <xdr:pic>
      <xdr:nvPicPr>
        <xdr:cNvPr id="149" name="Picture@AG\QAtrasado@" descr="@AG\QAtrasado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133350</xdr:rowOff>
    </xdr:to>
    <xdr:pic>
      <xdr:nvPicPr>
        <xdr:cNvPr id="150" name="Picture@AG\QAtrasado@" descr="@AG\QAtrasado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150</xdr:row>
      <xdr:rowOff>0</xdr:rowOff>
    </xdr:from>
    <xdr:to>
      <xdr:col>9</xdr:col>
      <xdr:colOff>152400</xdr:colOff>
      <xdr:row>150</xdr:row>
      <xdr:rowOff>133350</xdr:rowOff>
    </xdr:to>
    <xdr:pic>
      <xdr:nvPicPr>
        <xdr:cNvPr id="151" name="Picture@AG\QAtrasado@" descr="@AG\QAtrasado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133350</xdr:rowOff>
    </xdr:to>
    <xdr:pic>
      <xdr:nvPicPr>
        <xdr:cNvPr id="152" name="Picture@AG\QAtrasado@" descr="@AG\QAtrasado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152</xdr:row>
      <xdr:rowOff>0</xdr:rowOff>
    </xdr:from>
    <xdr:to>
      <xdr:col>9</xdr:col>
      <xdr:colOff>152400</xdr:colOff>
      <xdr:row>152</xdr:row>
      <xdr:rowOff>133350</xdr:rowOff>
    </xdr:to>
    <xdr:pic>
      <xdr:nvPicPr>
        <xdr:cNvPr id="153" name="Picture@AG\QAtrasado@" descr="@AG\QAtrasado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153</xdr:row>
      <xdr:rowOff>0</xdr:rowOff>
    </xdr:from>
    <xdr:to>
      <xdr:col>9</xdr:col>
      <xdr:colOff>152400</xdr:colOff>
      <xdr:row>153</xdr:row>
      <xdr:rowOff>133350</xdr:rowOff>
    </xdr:to>
    <xdr:pic>
      <xdr:nvPicPr>
        <xdr:cNvPr id="154" name="Picture@AG\QAtrasado@" descr="@AG\QAtrasado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154</xdr:row>
      <xdr:rowOff>0</xdr:rowOff>
    </xdr:from>
    <xdr:to>
      <xdr:col>9</xdr:col>
      <xdr:colOff>152400</xdr:colOff>
      <xdr:row>154</xdr:row>
      <xdr:rowOff>133350</xdr:rowOff>
    </xdr:to>
    <xdr:pic>
      <xdr:nvPicPr>
        <xdr:cNvPr id="155" name="Picture@AG\QAtrasado@" descr="@AG\QAtrasado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155</xdr:row>
      <xdr:rowOff>0</xdr:rowOff>
    </xdr:from>
    <xdr:to>
      <xdr:col>9</xdr:col>
      <xdr:colOff>152400</xdr:colOff>
      <xdr:row>155</xdr:row>
      <xdr:rowOff>133350</xdr:rowOff>
    </xdr:to>
    <xdr:pic>
      <xdr:nvPicPr>
        <xdr:cNvPr id="156" name="Picture@AG\QAtrasado@" descr="@AG\QAtrasado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156</xdr:row>
      <xdr:rowOff>0</xdr:rowOff>
    </xdr:from>
    <xdr:to>
      <xdr:col>9</xdr:col>
      <xdr:colOff>152400</xdr:colOff>
      <xdr:row>156</xdr:row>
      <xdr:rowOff>133350</xdr:rowOff>
    </xdr:to>
    <xdr:pic>
      <xdr:nvPicPr>
        <xdr:cNvPr id="157" name="Picture@AG\QAtrasado@" descr="@AG\QAtrasado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157</xdr:row>
      <xdr:rowOff>0</xdr:rowOff>
    </xdr:from>
    <xdr:to>
      <xdr:col>9</xdr:col>
      <xdr:colOff>152400</xdr:colOff>
      <xdr:row>157</xdr:row>
      <xdr:rowOff>133350</xdr:rowOff>
    </xdr:to>
    <xdr:pic>
      <xdr:nvPicPr>
        <xdr:cNvPr id="158" name="Picture@AG\QAtrasado@" descr="@AG\QAtrasado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158</xdr:row>
      <xdr:rowOff>0</xdr:rowOff>
    </xdr:from>
    <xdr:to>
      <xdr:col>9</xdr:col>
      <xdr:colOff>152400</xdr:colOff>
      <xdr:row>158</xdr:row>
      <xdr:rowOff>133350</xdr:rowOff>
    </xdr:to>
    <xdr:pic>
      <xdr:nvPicPr>
        <xdr:cNvPr id="159" name="Picture@AG\QAtrasado@" descr="@AG\QAtrasado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159</xdr:row>
      <xdr:rowOff>0</xdr:rowOff>
    </xdr:from>
    <xdr:to>
      <xdr:col>9</xdr:col>
      <xdr:colOff>152400</xdr:colOff>
      <xdr:row>159</xdr:row>
      <xdr:rowOff>133350</xdr:rowOff>
    </xdr:to>
    <xdr:pic>
      <xdr:nvPicPr>
        <xdr:cNvPr id="160" name="Picture@AG\QAtrasado@" descr="@AG\QAtrasado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160</xdr:row>
      <xdr:rowOff>0</xdr:rowOff>
    </xdr:from>
    <xdr:to>
      <xdr:col>9</xdr:col>
      <xdr:colOff>152400</xdr:colOff>
      <xdr:row>160</xdr:row>
      <xdr:rowOff>133350</xdr:rowOff>
    </xdr:to>
    <xdr:pic>
      <xdr:nvPicPr>
        <xdr:cNvPr id="161" name="Picture@AG\QAtrasado@" descr="@AG\QAtrasado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161</xdr:row>
      <xdr:rowOff>0</xdr:rowOff>
    </xdr:from>
    <xdr:to>
      <xdr:col>9</xdr:col>
      <xdr:colOff>152400</xdr:colOff>
      <xdr:row>161</xdr:row>
      <xdr:rowOff>133350</xdr:rowOff>
    </xdr:to>
    <xdr:pic>
      <xdr:nvPicPr>
        <xdr:cNvPr id="162" name="Picture@AG\QAtrasado@" descr="@AG\QAtrasado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162</xdr:row>
      <xdr:rowOff>0</xdr:rowOff>
    </xdr:from>
    <xdr:to>
      <xdr:col>9</xdr:col>
      <xdr:colOff>152400</xdr:colOff>
      <xdr:row>162</xdr:row>
      <xdr:rowOff>133350</xdr:rowOff>
    </xdr:to>
    <xdr:pic>
      <xdr:nvPicPr>
        <xdr:cNvPr id="163" name="Picture@AG\QAtrasado@" descr="@AG\QAtrasado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165</xdr:row>
      <xdr:rowOff>0</xdr:rowOff>
    </xdr:from>
    <xdr:to>
      <xdr:col>9</xdr:col>
      <xdr:colOff>152400</xdr:colOff>
      <xdr:row>165</xdr:row>
      <xdr:rowOff>133350</xdr:rowOff>
    </xdr:to>
    <xdr:pic>
      <xdr:nvPicPr>
        <xdr:cNvPr id="164" name="Picture@FR\Qno venc.@" descr="@FR\Qno venc.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166</xdr:row>
      <xdr:rowOff>0</xdr:rowOff>
    </xdr:from>
    <xdr:to>
      <xdr:col>9</xdr:col>
      <xdr:colOff>152400</xdr:colOff>
      <xdr:row>166</xdr:row>
      <xdr:rowOff>133350</xdr:rowOff>
    </xdr:to>
    <xdr:pic>
      <xdr:nvPicPr>
        <xdr:cNvPr id="165" name="Picture@FR\Qno venc.@" descr="@FR\Qno venc.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167</xdr:row>
      <xdr:rowOff>0</xdr:rowOff>
    </xdr:from>
    <xdr:to>
      <xdr:col>9</xdr:col>
      <xdr:colOff>152400</xdr:colOff>
      <xdr:row>167</xdr:row>
      <xdr:rowOff>133350</xdr:rowOff>
    </xdr:to>
    <xdr:pic>
      <xdr:nvPicPr>
        <xdr:cNvPr id="166" name="Picture@FR\Qno venc.@" descr="@FR\Qno venc.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168</xdr:row>
      <xdr:rowOff>0</xdr:rowOff>
    </xdr:from>
    <xdr:to>
      <xdr:col>9</xdr:col>
      <xdr:colOff>152400</xdr:colOff>
      <xdr:row>168</xdr:row>
      <xdr:rowOff>133350</xdr:rowOff>
    </xdr:to>
    <xdr:pic>
      <xdr:nvPicPr>
        <xdr:cNvPr id="167" name="Picture@FR\Qno venc.@" descr="@FR\Qno venc.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169</xdr:row>
      <xdr:rowOff>0</xdr:rowOff>
    </xdr:from>
    <xdr:to>
      <xdr:col>9</xdr:col>
      <xdr:colOff>152400</xdr:colOff>
      <xdr:row>169</xdr:row>
      <xdr:rowOff>133350</xdr:rowOff>
    </xdr:to>
    <xdr:pic>
      <xdr:nvPicPr>
        <xdr:cNvPr id="168" name="Picture@FR\Qno venc.@" descr="@FR\Qno venc.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170</xdr:row>
      <xdr:rowOff>0</xdr:rowOff>
    </xdr:from>
    <xdr:to>
      <xdr:col>9</xdr:col>
      <xdr:colOff>152400</xdr:colOff>
      <xdr:row>170</xdr:row>
      <xdr:rowOff>133350</xdr:rowOff>
    </xdr:to>
    <xdr:pic>
      <xdr:nvPicPr>
        <xdr:cNvPr id="169" name="Picture@FR\Qno venc.@" descr="@FR\Qno venc.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171</xdr:row>
      <xdr:rowOff>0</xdr:rowOff>
    </xdr:from>
    <xdr:to>
      <xdr:col>9</xdr:col>
      <xdr:colOff>152400</xdr:colOff>
      <xdr:row>171</xdr:row>
      <xdr:rowOff>133350</xdr:rowOff>
    </xdr:to>
    <xdr:pic>
      <xdr:nvPicPr>
        <xdr:cNvPr id="170" name="Picture@FR\Qno venc.@" descr="@FR\Qno venc.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172</xdr:row>
      <xdr:rowOff>0</xdr:rowOff>
    </xdr:from>
    <xdr:to>
      <xdr:col>9</xdr:col>
      <xdr:colOff>152400</xdr:colOff>
      <xdr:row>172</xdr:row>
      <xdr:rowOff>133350</xdr:rowOff>
    </xdr:to>
    <xdr:pic>
      <xdr:nvPicPr>
        <xdr:cNvPr id="171" name="Picture@FR\Qno venc.@" descr="@FR\Qno venc.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173</xdr:row>
      <xdr:rowOff>0</xdr:rowOff>
    </xdr:from>
    <xdr:to>
      <xdr:col>9</xdr:col>
      <xdr:colOff>152400</xdr:colOff>
      <xdr:row>173</xdr:row>
      <xdr:rowOff>133350</xdr:rowOff>
    </xdr:to>
    <xdr:pic>
      <xdr:nvPicPr>
        <xdr:cNvPr id="172" name="Picture@FR\Qno venc.@" descr="@FR\Qno venc.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174</xdr:row>
      <xdr:rowOff>0</xdr:rowOff>
    </xdr:from>
    <xdr:to>
      <xdr:col>9</xdr:col>
      <xdr:colOff>152400</xdr:colOff>
      <xdr:row>174</xdr:row>
      <xdr:rowOff>133350</xdr:rowOff>
    </xdr:to>
    <xdr:pic>
      <xdr:nvPicPr>
        <xdr:cNvPr id="173" name="Picture@FR\Qno venc.@" descr="@FR\Qno venc.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175</xdr:row>
      <xdr:rowOff>0</xdr:rowOff>
    </xdr:from>
    <xdr:to>
      <xdr:col>9</xdr:col>
      <xdr:colOff>152400</xdr:colOff>
      <xdr:row>175</xdr:row>
      <xdr:rowOff>133350</xdr:rowOff>
    </xdr:to>
    <xdr:pic>
      <xdr:nvPicPr>
        <xdr:cNvPr id="174" name="Picture@FR\Qno venc.@" descr="@FR\Qno venc.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176</xdr:row>
      <xdr:rowOff>0</xdr:rowOff>
    </xdr:from>
    <xdr:to>
      <xdr:col>9</xdr:col>
      <xdr:colOff>152400</xdr:colOff>
      <xdr:row>176</xdr:row>
      <xdr:rowOff>133350</xdr:rowOff>
    </xdr:to>
    <xdr:pic>
      <xdr:nvPicPr>
        <xdr:cNvPr id="175" name="Picture@FR\Qno venc.@" descr="@FR\Qno venc.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177</xdr:row>
      <xdr:rowOff>0</xdr:rowOff>
    </xdr:from>
    <xdr:to>
      <xdr:col>9</xdr:col>
      <xdr:colOff>152400</xdr:colOff>
      <xdr:row>177</xdr:row>
      <xdr:rowOff>133350</xdr:rowOff>
    </xdr:to>
    <xdr:pic>
      <xdr:nvPicPr>
        <xdr:cNvPr id="176" name="Picture@FR\Qno venc.@" descr="@FR\Qno venc.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178</xdr:row>
      <xdr:rowOff>0</xdr:rowOff>
    </xdr:from>
    <xdr:to>
      <xdr:col>9</xdr:col>
      <xdr:colOff>152400</xdr:colOff>
      <xdr:row>178</xdr:row>
      <xdr:rowOff>133350</xdr:rowOff>
    </xdr:to>
    <xdr:pic>
      <xdr:nvPicPr>
        <xdr:cNvPr id="177" name="Picture@FR\Qno venc.@" descr="@FR\Qno venc.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179</xdr:row>
      <xdr:rowOff>0</xdr:rowOff>
    </xdr:from>
    <xdr:to>
      <xdr:col>9</xdr:col>
      <xdr:colOff>152400</xdr:colOff>
      <xdr:row>179</xdr:row>
      <xdr:rowOff>133350</xdr:rowOff>
    </xdr:to>
    <xdr:pic>
      <xdr:nvPicPr>
        <xdr:cNvPr id="178" name="Picture@FR\Qno venc.@" descr="@FR\Qno venc.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180</xdr:row>
      <xdr:rowOff>0</xdr:rowOff>
    </xdr:from>
    <xdr:to>
      <xdr:col>9</xdr:col>
      <xdr:colOff>152400</xdr:colOff>
      <xdr:row>180</xdr:row>
      <xdr:rowOff>133350</xdr:rowOff>
    </xdr:to>
    <xdr:pic>
      <xdr:nvPicPr>
        <xdr:cNvPr id="179" name="Picture@FR\Qno venc.@" descr="@FR\Qno venc.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181</xdr:row>
      <xdr:rowOff>0</xdr:rowOff>
    </xdr:from>
    <xdr:to>
      <xdr:col>9</xdr:col>
      <xdr:colOff>152400</xdr:colOff>
      <xdr:row>181</xdr:row>
      <xdr:rowOff>133350</xdr:rowOff>
    </xdr:to>
    <xdr:pic>
      <xdr:nvPicPr>
        <xdr:cNvPr id="180" name="Picture@FR\Qno venc.@" descr="@FR\Qno venc.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182</xdr:row>
      <xdr:rowOff>0</xdr:rowOff>
    </xdr:from>
    <xdr:to>
      <xdr:col>9</xdr:col>
      <xdr:colOff>152400</xdr:colOff>
      <xdr:row>182</xdr:row>
      <xdr:rowOff>133350</xdr:rowOff>
    </xdr:to>
    <xdr:pic>
      <xdr:nvPicPr>
        <xdr:cNvPr id="181" name="Picture@FR\Qno venc.@" descr="@FR\Qno venc.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183</xdr:row>
      <xdr:rowOff>0</xdr:rowOff>
    </xdr:from>
    <xdr:to>
      <xdr:col>9</xdr:col>
      <xdr:colOff>152400</xdr:colOff>
      <xdr:row>183</xdr:row>
      <xdr:rowOff>133350</xdr:rowOff>
    </xdr:to>
    <xdr:pic>
      <xdr:nvPicPr>
        <xdr:cNvPr id="182" name="Picture@FR\Qno venc.@" descr="@FR\Qno venc.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184</xdr:row>
      <xdr:rowOff>0</xdr:rowOff>
    </xdr:from>
    <xdr:to>
      <xdr:col>9</xdr:col>
      <xdr:colOff>152400</xdr:colOff>
      <xdr:row>184</xdr:row>
      <xdr:rowOff>133350</xdr:rowOff>
    </xdr:to>
    <xdr:pic>
      <xdr:nvPicPr>
        <xdr:cNvPr id="183" name="Picture@FR\Qno venc.@" descr="@FR\Qno venc.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185</xdr:row>
      <xdr:rowOff>0</xdr:rowOff>
    </xdr:from>
    <xdr:to>
      <xdr:col>9</xdr:col>
      <xdr:colOff>152400</xdr:colOff>
      <xdr:row>185</xdr:row>
      <xdr:rowOff>133350</xdr:rowOff>
    </xdr:to>
    <xdr:pic>
      <xdr:nvPicPr>
        <xdr:cNvPr id="184" name="Picture@FR\Qno venc.@" descr="@FR\Qno venc.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186</xdr:row>
      <xdr:rowOff>0</xdr:rowOff>
    </xdr:from>
    <xdr:to>
      <xdr:col>9</xdr:col>
      <xdr:colOff>152400</xdr:colOff>
      <xdr:row>186</xdr:row>
      <xdr:rowOff>133350</xdr:rowOff>
    </xdr:to>
    <xdr:pic>
      <xdr:nvPicPr>
        <xdr:cNvPr id="185" name="Picture@FR\Qno venc.@" descr="@FR\Qno venc.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187</xdr:row>
      <xdr:rowOff>0</xdr:rowOff>
    </xdr:from>
    <xdr:to>
      <xdr:col>9</xdr:col>
      <xdr:colOff>152400</xdr:colOff>
      <xdr:row>187</xdr:row>
      <xdr:rowOff>133350</xdr:rowOff>
    </xdr:to>
    <xdr:pic>
      <xdr:nvPicPr>
        <xdr:cNvPr id="186" name="Picture@FR\Qno venc.@" descr="@FR\Qno venc.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188</xdr:row>
      <xdr:rowOff>0</xdr:rowOff>
    </xdr:from>
    <xdr:to>
      <xdr:col>9</xdr:col>
      <xdr:colOff>152400</xdr:colOff>
      <xdr:row>188</xdr:row>
      <xdr:rowOff>133350</xdr:rowOff>
    </xdr:to>
    <xdr:pic>
      <xdr:nvPicPr>
        <xdr:cNvPr id="187" name="Picture@FR\Qno venc.@" descr="@FR\Qno venc.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189</xdr:row>
      <xdr:rowOff>0</xdr:rowOff>
    </xdr:from>
    <xdr:to>
      <xdr:col>9</xdr:col>
      <xdr:colOff>152400</xdr:colOff>
      <xdr:row>189</xdr:row>
      <xdr:rowOff>133350</xdr:rowOff>
    </xdr:to>
    <xdr:pic>
      <xdr:nvPicPr>
        <xdr:cNvPr id="188" name="Picture@FR\Qno venc.@" descr="@FR\Qno venc.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190</xdr:row>
      <xdr:rowOff>0</xdr:rowOff>
    </xdr:from>
    <xdr:to>
      <xdr:col>9</xdr:col>
      <xdr:colOff>152400</xdr:colOff>
      <xdr:row>190</xdr:row>
      <xdr:rowOff>133350</xdr:rowOff>
    </xdr:to>
    <xdr:pic>
      <xdr:nvPicPr>
        <xdr:cNvPr id="189" name="Picture@FR\Qno venc.@" descr="@FR\Qno venc.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191</xdr:row>
      <xdr:rowOff>0</xdr:rowOff>
    </xdr:from>
    <xdr:to>
      <xdr:col>9</xdr:col>
      <xdr:colOff>152400</xdr:colOff>
      <xdr:row>191</xdr:row>
      <xdr:rowOff>133350</xdr:rowOff>
    </xdr:to>
    <xdr:pic>
      <xdr:nvPicPr>
        <xdr:cNvPr id="190" name="Picture@FR\Qno venc.@" descr="@FR\Qno venc.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192</xdr:row>
      <xdr:rowOff>0</xdr:rowOff>
    </xdr:from>
    <xdr:to>
      <xdr:col>9</xdr:col>
      <xdr:colOff>152400</xdr:colOff>
      <xdr:row>192</xdr:row>
      <xdr:rowOff>133350</xdr:rowOff>
    </xdr:to>
    <xdr:pic>
      <xdr:nvPicPr>
        <xdr:cNvPr id="191" name="Picture@FR\Qno venc.@" descr="@FR\Qno venc.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193</xdr:row>
      <xdr:rowOff>0</xdr:rowOff>
    </xdr:from>
    <xdr:to>
      <xdr:col>9</xdr:col>
      <xdr:colOff>152400</xdr:colOff>
      <xdr:row>193</xdr:row>
      <xdr:rowOff>133350</xdr:rowOff>
    </xdr:to>
    <xdr:pic>
      <xdr:nvPicPr>
        <xdr:cNvPr id="192" name="Picture@FR\Qno venc.@" descr="@FR\Qno venc.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194</xdr:row>
      <xdr:rowOff>0</xdr:rowOff>
    </xdr:from>
    <xdr:to>
      <xdr:col>9</xdr:col>
      <xdr:colOff>152400</xdr:colOff>
      <xdr:row>194</xdr:row>
      <xdr:rowOff>133350</xdr:rowOff>
    </xdr:to>
    <xdr:pic>
      <xdr:nvPicPr>
        <xdr:cNvPr id="193" name="Picture@FR\Qno venc.@" descr="@FR\Qno venc.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195</xdr:row>
      <xdr:rowOff>0</xdr:rowOff>
    </xdr:from>
    <xdr:to>
      <xdr:col>9</xdr:col>
      <xdr:colOff>152400</xdr:colOff>
      <xdr:row>195</xdr:row>
      <xdr:rowOff>133350</xdr:rowOff>
    </xdr:to>
    <xdr:pic>
      <xdr:nvPicPr>
        <xdr:cNvPr id="194" name="Picture@FR\Qno venc.@" descr="@FR\Qno venc.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196</xdr:row>
      <xdr:rowOff>0</xdr:rowOff>
    </xdr:from>
    <xdr:to>
      <xdr:col>9</xdr:col>
      <xdr:colOff>152400</xdr:colOff>
      <xdr:row>196</xdr:row>
      <xdr:rowOff>133350</xdr:rowOff>
    </xdr:to>
    <xdr:pic>
      <xdr:nvPicPr>
        <xdr:cNvPr id="195" name="Picture@FR\Qno venc.@" descr="@FR\Qno venc.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197</xdr:row>
      <xdr:rowOff>0</xdr:rowOff>
    </xdr:from>
    <xdr:to>
      <xdr:col>9</xdr:col>
      <xdr:colOff>152400</xdr:colOff>
      <xdr:row>197</xdr:row>
      <xdr:rowOff>133350</xdr:rowOff>
    </xdr:to>
    <xdr:pic>
      <xdr:nvPicPr>
        <xdr:cNvPr id="196" name="Picture@FR\Qno venc.@" descr="@FR\Qno venc.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198</xdr:row>
      <xdr:rowOff>0</xdr:rowOff>
    </xdr:from>
    <xdr:to>
      <xdr:col>9</xdr:col>
      <xdr:colOff>152400</xdr:colOff>
      <xdr:row>198</xdr:row>
      <xdr:rowOff>133350</xdr:rowOff>
    </xdr:to>
    <xdr:pic>
      <xdr:nvPicPr>
        <xdr:cNvPr id="197" name="Picture@FR\Qno venc.@" descr="@FR\Qno venc.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199</xdr:row>
      <xdr:rowOff>0</xdr:rowOff>
    </xdr:from>
    <xdr:to>
      <xdr:col>9</xdr:col>
      <xdr:colOff>152400</xdr:colOff>
      <xdr:row>199</xdr:row>
      <xdr:rowOff>133350</xdr:rowOff>
    </xdr:to>
    <xdr:pic>
      <xdr:nvPicPr>
        <xdr:cNvPr id="198" name="Picture@FR\Qno venc.@" descr="@FR\Qno venc.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200</xdr:row>
      <xdr:rowOff>0</xdr:rowOff>
    </xdr:from>
    <xdr:to>
      <xdr:col>9</xdr:col>
      <xdr:colOff>152400</xdr:colOff>
      <xdr:row>200</xdr:row>
      <xdr:rowOff>133350</xdr:rowOff>
    </xdr:to>
    <xdr:pic>
      <xdr:nvPicPr>
        <xdr:cNvPr id="199" name="Picture@FR\Qno venc.@" descr="@FR\Qno venc.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201</xdr:row>
      <xdr:rowOff>0</xdr:rowOff>
    </xdr:from>
    <xdr:to>
      <xdr:col>9</xdr:col>
      <xdr:colOff>152400</xdr:colOff>
      <xdr:row>201</xdr:row>
      <xdr:rowOff>133350</xdr:rowOff>
    </xdr:to>
    <xdr:pic>
      <xdr:nvPicPr>
        <xdr:cNvPr id="200" name="Picture@FR\Qno venc.@" descr="@FR\Qno venc.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202</xdr:row>
      <xdr:rowOff>0</xdr:rowOff>
    </xdr:from>
    <xdr:to>
      <xdr:col>9</xdr:col>
      <xdr:colOff>152400</xdr:colOff>
      <xdr:row>202</xdr:row>
      <xdr:rowOff>133350</xdr:rowOff>
    </xdr:to>
    <xdr:pic>
      <xdr:nvPicPr>
        <xdr:cNvPr id="201" name="Picture@FR\Qno venc.@" descr="@FR\Qno venc.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203</xdr:row>
      <xdr:rowOff>0</xdr:rowOff>
    </xdr:from>
    <xdr:to>
      <xdr:col>9</xdr:col>
      <xdr:colOff>152400</xdr:colOff>
      <xdr:row>203</xdr:row>
      <xdr:rowOff>133350</xdr:rowOff>
    </xdr:to>
    <xdr:pic>
      <xdr:nvPicPr>
        <xdr:cNvPr id="202" name="Picture@FR\Qno venc.@" descr="@FR\Qno venc.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204</xdr:row>
      <xdr:rowOff>0</xdr:rowOff>
    </xdr:from>
    <xdr:to>
      <xdr:col>9</xdr:col>
      <xdr:colOff>152400</xdr:colOff>
      <xdr:row>204</xdr:row>
      <xdr:rowOff>133350</xdr:rowOff>
    </xdr:to>
    <xdr:pic>
      <xdr:nvPicPr>
        <xdr:cNvPr id="203" name="Picture@FR\Qno venc.@" descr="@FR\Qno venc.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205</xdr:row>
      <xdr:rowOff>0</xdr:rowOff>
    </xdr:from>
    <xdr:to>
      <xdr:col>9</xdr:col>
      <xdr:colOff>152400</xdr:colOff>
      <xdr:row>205</xdr:row>
      <xdr:rowOff>133350</xdr:rowOff>
    </xdr:to>
    <xdr:pic>
      <xdr:nvPicPr>
        <xdr:cNvPr id="204" name="Picture@FR\Qno venc.@" descr="@FR\Qno venc.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206</xdr:row>
      <xdr:rowOff>0</xdr:rowOff>
    </xdr:from>
    <xdr:to>
      <xdr:col>9</xdr:col>
      <xdr:colOff>152400</xdr:colOff>
      <xdr:row>206</xdr:row>
      <xdr:rowOff>133350</xdr:rowOff>
    </xdr:to>
    <xdr:pic>
      <xdr:nvPicPr>
        <xdr:cNvPr id="205" name="Picture@FR\Qno venc.@" descr="@FR\Qno venc.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207</xdr:row>
      <xdr:rowOff>0</xdr:rowOff>
    </xdr:from>
    <xdr:to>
      <xdr:col>9</xdr:col>
      <xdr:colOff>152400</xdr:colOff>
      <xdr:row>207</xdr:row>
      <xdr:rowOff>133350</xdr:rowOff>
    </xdr:to>
    <xdr:pic>
      <xdr:nvPicPr>
        <xdr:cNvPr id="206" name="Picture@FR\Qno venc.@" descr="@FR\Qno venc.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208</xdr:row>
      <xdr:rowOff>0</xdr:rowOff>
    </xdr:from>
    <xdr:to>
      <xdr:col>9</xdr:col>
      <xdr:colOff>152400</xdr:colOff>
      <xdr:row>208</xdr:row>
      <xdr:rowOff>133350</xdr:rowOff>
    </xdr:to>
    <xdr:pic>
      <xdr:nvPicPr>
        <xdr:cNvPr id="207" name="Picture@FR\Qno venc.@" descr="@FR\Qno venc.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209</xdr:row>
      <xdr:rowOff>0</xdr:rowOff>
    </xdr:from>
    <xdr:to>
      <xdr:col>9</xdr:col>
      <xdr:colOff>152400</xdr:colOff>
      <xdr:row>209</xdr:row>
      <xdr:rowOff>133350</xdr:rowOff>
    </xdr:to>
    <xdr:pic>
      <xdr:nvPicPr>
        <xdr:cNvPr id="208" name="Picture@FR\Qno venc.@" descr="@FR\Qno venc.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210</xdr:row>
      <xdr:rowOff>0</xdr:rowOff>
    </xdr:from>
    <xdr:to>
      <xdr:col>9</xdr:col>
      <xdr:colOff>152400</xdr:colOff>
      <xdr:row>210</xdr:row>
      <xdr:rowOff>133350</xdr:rowOff>
    </xdr:to>
    <xdr:pic>
      <xdr:nvPicPr>
        <xdr:cNvPr id="209" name="Picture@FR\Qno venc.@" descr="@FR\Qno venc.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211</xdr:row>
      <xdr:rowOff>0</xdr:rowOff>
    </xdr:from>
    <xdr:to>
      <xdr:col>9</xdr:col>
      <xdr:colOff>152400</xdr:colOff>
      <xdr:row>211</xdr:row>
      <xdr:rowOff>133350</xdr:rowOff>
    </xdr:to>
    <xdr:pic>
      <xdr:nvPicPr>
        <xdr:cNvPr id="210" name="Picture@FR\Qno venc.@" descr="@FR\Qno venc.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212</xdr:row>
      <xdr:rowOff>0</xdr:rowOff>
    </xdr:from>
    <xdr:to>
      <xdr:col>9</xdr:col>
      <xdr:colOff>152400</xdr:colOff>
      <xdr:row>212</xdr:row>
      <xdr:rowOff>133350</xdr:rowOff>
    </xdr:to>
    <xdr:pic>
      <xdr:nvPicPr>
        <xdr:cNvPr id="211" name="Picture@FR\Qno venc.@" descr="@FR\Qno venc.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213</xdr:row>
      <xdr:rowOff>0</xdr:rowOff>
    </xdr:from>
    <xdr:to>
      <xdr:col>9</xdr:col>
      <xdr:colOff>152400</xdr:colOff>
      <xdr:row>213</xdr:row>
      <xdr:rowOff>133350</xdr:rowOff>
    </xdr:to>
    <xdr:pic>
      <xdr:nvPicPr>
        <xdr:cNvPr id="212" name="Picture@FR\Qno venc.@" descr="@FR\Qno venc.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214</xdr:row>
      <xdr:rowOff>0</xdr:rowOff>
    </xdr:from>
    <xdr:to>
      <xdr:col>9</xdr:col>
      <xdr:colOff>152400</xdr:colOff>
      <xdr:row>214</xdr:row>
      <xdr:rowOff>133350</xdr:rowOff>
    </xdr:to>
    <xdr:pic>
      <xdr:nvPicPr>
        <xdr:cNvPr id="213" name="Picture@FR\Qno venc.@" descr="@FR\Qno venc.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215</xdr:row>
      <xdr:rowOff>0</xdr:rowOff>
    </xdr:from>
    <xdr:to>
      <xdr:col>9</xdr:col>
      <xdr:colOff>152400</xdr:colOff>
      <xdr:row>215</xdr:row>
      <xdr:rowOff>133350</xdr:rowOff>
    </xdr:to>
    <xdr:pic>
      <xdr:nvPicPr>
        <xdr:cNvPr id="214" name="Picture@FR\Qno venc.@" descr="@FR\Qno venc.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216</xdr:row>
      <xdr:rowOff>0</xdr:rowOff>
    </xdr:from>
    <xdr:to>
      <xdr:col>9</xdr:col>
      <xdr:colOff>152400</xdr:colOff>
      <xdr:row>216</xdr:row>
      <xdr:rowOff>133350</xdr:rowOff>
    </xdr:to>
    <xdr:pic>
      <xdr:nvPicPr>
        <xdr:cNvPr id="215" name="Picture@FR\Qno venc.@" descr="@FR\Qno venc.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217</xdr:row>
      <xdr:rowOff>0</xdr:rowOff>
    </xdr:from>
    <xdr:to>
      <xdr:col>9</xdr:col>
      <xdr:colOff>152400</xdr:colOff>
      <xdr:row>217</xdr:row>
      <xdr:rowOff>133350</xdr:rowOff>
    </xdr:to>
    <xdr:pic>
      <xdr:nvPicPr>
        <xdr:cNvPr id="216" name="Picture@FR\Qno venc.@" descr="@FR\Qno venc.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218</xdr:row>
      <xdr:rowOff>0</xdr:rowOff>
    </xdr:from>
    <xdr:to>
      <xdr:col>9</xdr:col>
      <xdr:colOff>152400</xdr:colOff>
      <xdr:row>218</xdr:row>
      <xdr:rowOff>133350</xdr:rowOff>
    </xdr:to>
    <xdr:pic>
      <xdr:nvPicPr>
        <xdr:cNvPr id="217" name="Picture@FR\Qno venc.@" descr="@FR\Qno venc.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219</xdr:row>
      <xdr:rowOff>0</xdr:rowOff>
    </xdr:from>
    <xdr:to>
      <xdr:col>9</xdr:col>
      <xdr:colOff>152400</xdr:colOff>
      <xdr:row>219</xdr:row>
      <xdr:rowOff>133350</xdr:rowOff>
    </xdr:to>
    <xdr:pic>
      <xdr:nvPicPr>
        <xdr:cNvPr id="218" name="Picture@FR\Qno venc.@" descr="@FR\Qno venc.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220</xdr:row>
      <xdr:rowOff>0</xdr:rowOff>
    </xdr:from>
    <xdr:to>
      <xdr:col>9</xdr:col>
      <xdr:colOff>152400</xdr:colOff>
      <xdr:row>220</xdr:row>
      <xdr:rowOff>133350</xdr:rowOff>
    </xdr:to>
    <xdr:pic>
      <xdr:nvPicPr>
        <xdr:cNvPr id="219" name="Picture@FR\Qno venc.@" descr="@FR\Qno venc.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221</xdr:row>
      <xdr:rowOff>0</xdr:rowOff>
    </xdr:from>
    <xdr:to>
      <xdr:col>9</xdr:col>
      <xdr:colOff>152400</xdr:colOff>
      <xdr:row>221</xdr:row>
      <xdr:rowOff>133350</xdr:rowOff>
    </xdr:to>
    <xdr:pic>
      <xdr:nvPicPr>
        <xdr:cNvPr id="220" name="Picture@FR\Qno venc.@" descr="@FR\Qno venc.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222</xdr:row>
      <xdr:rowOff>0</xdr:rowOff>
    </xdr:from>
    <xdr:to>
      <xdr:col>9</xdr:col>
      <xdr:colOff>152400</xdr:colOff>
      <xdr:row>222</xdr:row>
      <xdr:rowOff>133350</xdr:rowOff>
    </xdr:to>
    <xdr:pic>
      <xdr:nvPicPr>
        <xdr:cNvPr id="221" name="Picture@FR\Qno venc.@" descr="@FR\Qno venc.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223</xdr:row>
      <xdr:rowOff>0</xdr:rowOff>
    </xdr:from>
    <xdr:to>
      <xdr:col>9</xdr:col>
      <xdr:colOff>152400</xdr:colOff>
      <xdr:row>223</xdr:row>
      <xdr:rowOff>133350</xdr:rowOff>
    </xdr:to>
    <xdr:pic>
      <xdr:nvPicPr>
        <xdr:cNvPr id="222" name="Picture@FR\Qno venc.@" descr="@FR\Qno venc.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224</xdr:row>
      <xdr:rowOff>0</xdr:rowOff>
    </xdr:from>
    <xdr:to>
      <xdr:col>9</xdr:col>
      <xdr:colOff>152400</xdr:colOff>
      <xdr:row>224</xdr:row>
      <xdr:rowOff>133350</xdr:rowOff>
    </xdr:to>
    <xdr:pic>
      <xdr:nvPicPr>
        <xdr:cNvPr id="223" name="Picture@FR\Qno venc.@" descr="@FR\Qno venc.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225</xdr:row>
      <xdr:rowOff>0</xdr:rowOff>
    </xdr:from>
    <xdr:to>
      <xdr:col>9</xdr:col>
      <xdr:colOff>152400</xdr:colOff>
      <xdr:row>225</xdr:row>
      <xdr:rowOff>133350</xdr:rowOff>
    </xdr:to>
    <xdr:pic>
      <xdr:nvPicPr>
        <xdr:cNvPr id="224" name="Picture@FR\Qno venc.@" descr="@FR\Qno venc.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226</xdr:row>
      <xdr:rowOff>0</xdr:rowOff>
    </xdr:from>
    <xdr:to>
      <xdr:col>9</xdr:col>
      <xdr:colOff>152400</xdr:colOff>
      <xdr:row>226</xdr:row>
      <xdr:rowOff>133350</xdr:rowOff>
    </xdr:to>
    <xdr:pic>
      <xdr:nvPicPr>
        <xdr:cNvPr id="225" name="Picture@FR\Qno venc.@" descr="@FR\Qno venc.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227</xdr:row>
      <xdr:rowOff>0</xdr:rowOff>
    </xdr:from>
    <xdr:to>
      <xdr:col>9</xdr:col>
      <xdr:colOff>152400</xdr:colOff>
      <xdr:row>227</xdr:row>
      <xdr:rowOff>133350</xdr:rowOff>
    </xdr:to>
    <xdr:pic>
      <xdr:nvPicPr>
        <xdr:cNvPr id="226" name="Picture@FR\Qno venc.@" descr="@FR\Qno venc.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228</xdr:row>
      <xdr:rowOff>0</xdr:rowOff>
    </xdr:from>
    <xdr:to>
      <xdr:col>9</xdr:col>
      <xdr:colOff>152400</xdr:colOff>
      <xdr:row>228</xdr:row>
      <xdr:rowOff>133350</xdr:rowOff>
    </xdr:to>
    <xdr:pic>
      <xdr:nvPicPr>
        <xdr:cNvPr id="227" name="Picture@FR\Qno venc.@" descr="@FR\Qno venc.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229</xdr:row>
      <xdr:rowOff>0</xdr:rowOff>
    </xdr:from>
    <xdr:to>
      <xdr:col>9</xdr:col>
      <xdr:colOff>152400</xdr:colOff>
      <xdr:row>229</xdr:row>
      <xdr:rowOff>133350</xdr:rowOff>
    </xdr:to>
    <xdr:pic>
      <xdr:nvPicPr>
        <xdr:cNvPr id="228" name="Picture@FR\Qno venc.@" descr="@FR\Qno venc.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230</xdr:row>
      <xdr:rowOff>0</xdr:rowOff>
    </xdr:from>
    <xdr:to>
      <xdr:col>9</xdr:col>
      <xdr:colOff>152400</xdr:colOff>
      <xdr:row>230</xdr:row>
      <xdr:rowOff>133350</xdr:rowOff>
    </xdr:to>
    <xdr:pic>
      <xdr:nvPicPr>
        <xdr:cNvPr id="229" name="Picture@FR\Qno venc.@" descr="@FR\Qno venc.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231</xdr:row>
      <xdr:rowOff>0</xdr:rowOff>
    </xdr:from>
    <xdr:to>
      <xdr:col>9</xdr:col>
      <xdr:colOff>152400</xdr:colOff>
      <xdr:row>231</xdr:row>
      <xdr:rowOff>133350</xdr:rowOff>
    </xdr:to>
    <xdr:pic>
      <xdr:nvPicPr>
        <xdr:cNvPr id="230" name="Picture@FR\Qno venc.@" descr="@FR\Qno venc.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232</xdr:row>
      <xdr:rowOff>0</xdr:rowOff>
    </xdr:from>
    <xdr:to>
      <xdr:col>9</xdr:col>
      <xdr:colOff>152400</xdr:colOff>
      <xdr:row>232</xdr:row>
      <xdr:rowOff>133350</xdr:rowOff>
    </xdr:to>
    <xdr:pic>
      <xdr:nvPicPr>
        <xdr:cNvPr id="231" name="Picture@FR\Qno venc.@" descr="@FR\Qno venc.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233</xdr:row>
      <xdr:rowOff>0</xdr:rowOff>
    </xdr:from>
    <xdr:to>
      <xdr:col>9</xdr:col>
      <xdr:colOff>152400</xdr:colOff>
      <xdr:row>233</xdr:row>
      <xdr:rowOff>133350</xdr:rowOff>
    </xdr:to>
    <xdr:pic>
      <xdr:nvPicPr>
        <xdr:cNvPr id="232" name="Picture@FR\Qno venc.@" descr="@FR\Qno venc.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234</xdr:row>
      <xdr:rowOff>0</xdr:rowOff>
    </xdr:from>
    <xdr:to>
      <xdr:col>9</xdr:col>
      <xdr:colOff>152400</xdr:colOff>
      <xdr:row>234</xdr:row>
      <xdr:rowOff>133350</xdr:rowOff>
    </xdr:to>
    <xdr:pic>
      <xdr:nvPicPr>
        <xdr:cNvPr id="233" name="Picture@FR\Qno venc.@" descr="@FR\Qno venc.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235</xdr:row>
      <xdr:rowOff>0</xdr:rowOff>
    </xdr:from>
    <xdr:to>
      <xdr:col>9</xdr:col>
      <xdr:colOff>152400</xdr:colOff>
      <xdr:row>235</xdr:row>
      <xdr:rowOff>133350</xdr:rowOff>
    </xdr:to>
    <xdr:pic>
      <xdr:nvPicPr>
        <xdr:cNvPr id="234" name="Picture@FR\Qno venc.@" descr="@FR\Qno venc.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236</xdr:row>
      <xdr:rowOff>0</xdr:rowOff>
    </xdr:from>
    <xdr:to>
      <xdr:col>9</xdr:col>
      <xdr:colOff>152400</xdr:colOff>
      <xdr:row>236</xdr:row>
      <xdr:rowOff>133350</xdr:rowOff>
    </xdr:to>
    <xdr:pic>
      <xdr:nvPicPr>
        <xdr:cNvPr id="235" name="Picture@FR\Qno venc.@" descr="@FR\Qno venc.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237</xdr:row>
      <xdr:rowOff>0</xdr:rowOff>
    </xdr:from>
    <xdr:to>
      <xdr:col>9</xdr:col>
      <xdr:colOff>152400</xdr:colOff>
      <xdr:row>237</xdr:row>
      <xdr:rowOff>133350</xdr:rowOff>
    </xdr:to>
    <xdr:pic>
      <xdr:nvPicPr>
        <xdr:cNvPr id="236" name="Picture@FR\Qno venc.@" descr="@FR\Qno venc.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238</xdr:row>
      <xdr:rowOff>0</xdr:rowOff>
    </xdr:from>
    <xdr:to>
      <xdr:col>9</xdr:col>
      <xdr:colOff>152400</xdr:colOff>
      <xdr:row>238</xdr:row>
      <xdr:rowOff>133350</xdr:rowOff>
    </xdr:to>
    <xdr:pic>
      <xdr:nvPicPr>
        <xdr:cNvPr id="237" name="Picture@FR\Qno venc.@" descr="@FR\Qno venc.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239</xdr:row>
      <xdr:rowOff>0</xdr:rowOff>
    </xdr:from>
    <xdr:to>
      <xdr:col>9</xdr:col>
      <xdr:colOff>152400</xdr:colOff>
      <xdr:row>239</xdr:row>
      <xdr:rowOff>133350</xdr:rowOff>
    </xdr:to>
    <xdr:pic>
      <xdr:nvPicPr>
        <xdr:cNvPr id="238" name="Picture@FR\Qno venc.@" descr="@FR\Qno venc.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240</xdr:row>
      <xdr:rowOff>0</xdr:rowOff>
    </xdr:from>
    <xdr:to>
      <xdr:col>9</xdr:col>
      <xdr:colOff>152400</xdr:colOff>
      <xdr:row>240</xdr:row>
      <xdr:rowOff>133350</xdr:rowOff>
    </xdr:to>
    <xdr:pic>
      <xdr:nvPicPr>
        <xdr:cNvPr id="239" name="Picture@FR\Qno venc.@" descr="@FR\Qno venc.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241</xdr:row>
      <xdr:rowOff>0</xdr:rowOff>
    </xdr:from>
    <xdr:to>
      <xdr:col>9</xdr:col>
      <xdr:colOff>152400</xdr:colOff>
      <xdr:row>241</xdr:row>
      <xdr:rowOff>133350</xdr:rowOff>
    </xdr:to>
    <xdr:pic>
      <xdr:nvPicPr>
        <xdr:cNvPr id="240" name="Picture@FR\Qno venc.@" descr="@FR\Qno venc.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242</xdr:row>
      <xdr:rowOff>0</xdr:rowOff>
    </xdr:from>
    <xdr:to>
      <xdr:col>9</xdr:col>
      <xdr:colOff>152400</xdr:colOff>
      <xdr:row>242</xdr:row>
      <xdr:rowOff>133350</xdr:rowOff>
    </xdr:to>
    <xdr:pic>
      <xdr:nvPicPr>
        <xdr:cNvPr id="241" name="Picture@FR\Qno venc.@" descr="@FR\Qno venc.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243</xdr:row>
      <xdr:rowOff>0</xdr:rowOff>
    </xdr:from>
    <xdr:to>
      <xdr:col>9</xdr:col>
      <xdr:colOff>152400</xdr:colOff>
      <xdr:row>243</xdr:row>
      <xdr:rowOff>133350</xdr:rowOff>
    </xdr:to>
    <xdr:pic>
      <xdr:nvPicPr>
        <xdr:cNvPr id="242" name="Picture@FR\Qno venc.@" descr="@FR\Qno venc.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244</xdr:row>
      <xdr:rowOff>0</xdr:rowOff>
    </xdr:from>
    <xdr:to>
      <xdr:col>9</xdr:col>
      <xdr:colOff>152400</xdr:colOff>
      <xdr:row>244</xdr:row>
      <xdr:rowOff>133350</xdr:rowOff>
    </xdr:to>
    <xdr:pic>
      <xdr:nvPicPr>
        <xdr:cNvPr id="243" name="Picture@FR\Qno venc.@" descr="@FR\Qno venc.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245</xdr:row>
      <xdr:rowOff>0</xdr:rowOff>
    </xdr:from>
    <xdr:to>
      <xdr:col>9</xdr:col>
      <xdr:colOff>152400</xdr:colOff>
      <xdr:row>245</xdr:row>
      <xdr:rowOff>133350</xdr:rowOff>
    </xdr:to>
    <xdr:pic>
      <xdr:nvPicPr>
        <xdr:cNvPr id="244" name="Picture@FR\Qno venc.@" descr="@FR\Qno venc.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246</xdr:row>
      <xdr:rowOff>0</xdr:rowOff>
    </xdr:from>
    <xdr:to>
      <xdr:col>9</xdr:col>
      <xdr:colOff>152400</xdr:colOff>
      <xdr:row>246</xdr:row>
      <xdr:rowOff>133350</xdr:rowOff>
    </xdr:to>
    <xdr:pic>
      <xdr:nvPicPr>
        <xdr:cNvPr id="245" name="Picture@FR\Qno venc.@" descr="@FR\Qno venc.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247</xdr:row>
      <xdr:rowOff>0</xdr:rowOff>
    </xdr:from>
    <xdr:to>
      <xdr:col>9</xdr:col>
      <xdr:colOff>152400</xdr:colOff>
      <xdr:row>247</xdr:row>
      <xdr:rowOff>133350</xdr:rowOff>
    </xdr:to>
    <xdr:pic>
      <xdr:nvPicPr>
        <xdr:cNvPr id="246" name="Picture@FR\Qno venc.@" descr="@FR\Qno venc.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248</xdr:row>
      <xdr:rowOff>0</xdr:rowOff>
    </xdr:from>
    <xdr:to>
      <xdr:col>9</xdr:col>
      <xdr:colOff>152400</xdr:colOff>
      <xdr:row>248</xdr:row>
      <xdr:rowOff>133350</xdr:rowOff>
    </xdr:to>
    <xdr:pic>
      <xdr:nvPicPr>
        <xdr:cNvPr id="247" name="Picture@FR\Qno venc.@" descr="@FR\Qno venc.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249</xdr:row>
      <xdr:rowOff>0</xdr:rowOff>
    </xdr:from>
    <xdr:to>
      <xdr:col>9</xdr:col>
      <xdr:colOff>152400</xdr:colOff>
      <xdr:row>249</xdr:row>
      <xdr:rowOff>133350</xdr:rowOff>
    </xdr:to>
    <xdr:pic>
      <xdr:nvPicPr>
        <xdr:cNvPr id="248" name="Picture@FR\Qno venc.@" descr="@FR\Qno venc.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250</xdr:row>
      <xdr:rowOff>0</xdr:rowOff>
    </xdr:from>
    <xdr:to>
      <xdr:col>9</xdr:col>
      <xdr:colOff>152400</xdr:colOff>
      <xdr:row>250</xdr:row>
      <xdr:rowOff>133350</xdr:rowOff>
    </xdr:to>
    <xdr:pic>
      <xdr:nvPicPr>
        <xdr:cNvPr id="249" name="Picture@FR\Qno venc.@" descr="@FR\Qno venc.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251</xdr:row>
      <xdr:rowOff>0</xdr:rowOff>
    </xdr:from>
    <xdr:to>
      <xdr:col>9</xdr:col>
      <xdr:colOff>152400</xdr:colOff>
      <xdr:row>251</xdr:row>
      <xdr:rowOff>133350</xdr:rowOff>
    </xdr:to>
    <xdr:pic>
      <xdr:nvPicPr>
        <xdr:cNvPr id="250" name="Picture@FR\Qno venc.@" descr="@FR\Qno venc.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252</xdr:row>
      <xdr:rowOff>0</xdr:rowOff>
    </xdr:from>
    <xdr:to>
      <xdr:col>9</xdr:col>
      <xdr:colOff>152400</xdr:colOff>
      <xdr:row>252</xdr:row>
      <xdr:rowOff>133350</xdr:rowOff>
    </xdr:to>
    <xdr:pic>
      <xdr:nvPicPr>
        <xdr:cNvPr id="251" name="Picture@FR\Qno venc.@" descr="@FR\Qno venc.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253</xdr:row>
      <xdr:rowOff>0</xdr:rowOff>
    </xdr:from>
    <xdr:to>
      <xdr:col>9</xdr:col>
      <xdr:colOff>152400</xdr:colOff>
      <xdr:row>253</xdr:row>
      <xdr:rowOff>133350</xdr:rowOff>
    </xdr:to>
    <xdr:pic>
      <xdr:nvPicPr>
        <xdr:cNvPr id="252" name="Picture@FR\Qno venc.@" descr="@FR\Qno venc.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254</xdr:row>
      <xdr:rowOff>0</xdr:rowOff>
    </xdr:from>
    <xdr:to>
      <xdr:col>9</xdr:col>
      <xdr:colOff>152400</xdr:colOff>
      <xdr:row>254</xdr:row>
      <xdr:rowOff>133350</xdr:rowOff>
    </xdr:to>
    <xdr:pic>
      <xdr:nvPicPr>
        <xdr:cNvPr id="253" name="Picture@FR\Qno venc.@" descr="@FR\Qno venc.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255</xdr:row>
      <xdr:rowOff>0</xdr:rowOff>
    </xdr:from>
    <xdr:to>
      <xdr:col>9</xdr:col>
      <xdr:colOff>152400</xdr:colOff>
      <xdr:row>255</xdr:row>
      <xdr:rowOff>133350</xdr:rowOff>
    </xdr:to>
    <xdr:pic>
      <xdr:nvPicPr>
        <xdr:cNvPr id="254" name="Picture@FR\Qno venc.@" descr="@FR\Qno venc.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256</xdr:row>
      <xdr:rowOff>0</xdr:rowOff>
    </xdr:from>
    <xdr:to>
      <xdr:col>9</xdr:col>
      <xdr:colOff>152400</xdr:colOff>
      <xdr:row>256</xdr:row>
      <xdr:rowOff>133350</xdr:rowOff>
    </xdr:to>
    <xdr:pic>
      <xdr:nvPicPr>
        <xdr:cNvPr id="255" name="Picture@FR\Qno venc.@" descr="@FR\Qno venc.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152400</xdr:colOff>
      <xdr:row>257</xdr:row>
      <xdr:rowOff>133350</xdr:rowOff>
    </xdr:to>
    <xdr:pic>
      <xdr:nvPicPr>
        <xdr:cNvPr id="256" name="Picture@FR\Qno venc.@" descr="@FR\Qno venc.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152400</xdr:colOff>
      <xdr:row>258</xdr:row>
      <xdr:rowOff>133350</xdr:rowOff>
    </xdr:to>
    <xdr:pic>
      <xdr:nvPicPr>
        <xdr:cNvPr id="257" name="Picture@FR\Qno venc.@" descr="@FR\Qno venc.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259</xdr:row>
      <xdr:rowOff>0</xdr:rowOff>
    </xdr:from>
    <xdr:to>
      <xdr:col>9</xdr:col>
      <xdr:colOff>152400</xdr:colOff>
      <xdr:row>259</xdr:row>
      <xdr:rowOff>133350</xdr:rowOff>
    </xdr:to>
    <xdr:pic>
      <xdr:nvPicPr>
        <xdr:cNvPr id="258" name="Picture@FR\Qno venc.@" descr="@FR\Qno venc.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260</xdr:row>
      <xdr:rowOff>0</xdr:rowOff>
    </xdr:from>
    <xdr:to>
      <xdr:col>9</xdr:col>
      <xdr:colOff>152400</xdr:colOff>
      <xdr:row>260</xdr:row>
      <xdr:rowOff>133350</xdr:rowOff>
    </xdr:to>
    <xdr:pic>
      <xdr:nvPicPr>
        <xdr:cNvPr id="259" name="Picture@FR\Qno venc.@" descr="@FR\Qno venc.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261</xdr:row>
      <xdr:rowOff>0</xdr:rowOff>
    </xdr:from>
    <xdr:to>
      <xdr:col>9</xdr:col>
      <xdr:colOff>152400</xdr:colOff>
      <xdr:row>261</xdr:row>
      <xdr:rowOff>133350</xdr:rowOff>
    </xdr:to>
    <xdr:pic>
      <xdr:nvPicPr>
        <xdr:cNvPr id="260" name="Picture@FR\Qno venc.@" descr="@FR\Qno venc.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262</xdr:row>
      <xdr:rowOff>0</xdr:rowOff>
    </xdr:from>
    <xdr:to>
      <xdr:col>9</xdr:col>
      <xdr:colOff>152400</xdr:colOff>
      <xdr:row>262</xdr:row>
      <xdr:rowOff>133350</xdr:rowOff>
    </xdr:to>
    <xdr:pic>
      <xdr:nvPicPr>
        <xdr:cNvPr id="261" name="Picture@FR\Qno venc.@" descr="@FR\Qno venc.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263</xdr:row>
      <xdr:rowOff>0</xdr:rowOff>
    </xdr:from>
    <xdr:to>
      <xdr:col>9</xdr:col>
      <xdr:colOff>152400</xdr:colOff>
      <xdr:row>263</xdr:row>
      <xdr:rowOff>133350</xdr:rowOff>
    </xdr:to>
    <xdr:pic>
      <xdr:nvPicPr>
        <xdr:cNvPr id="262" name="Picture@FR\Qno venc.@" descr="@FR\Qno venc.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264</xdr:row>
      <xdr:rowOff>0</xdr:rowOff>
    </xdr:from>
    <xdr:to>
      <xdr:col>9</xdr:col>
      <xdr:colOff>152400</xdr:colOff>
      <xdr:row>264</xdr:row>
      <xdr:rowOff>133350</xdr:rowOff>
    </xdr:to>
    <xdr:pic>
      <xdr:nvPicPr>
        <xdr:cNvPr id="263" name="Picture@FR\Qno venc.@" descr="@FR\Qno venc.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265</xdr:row>
      <xdr:rowOff>0</xdr:rowOff>
    </xdr:from>
    <xdr:to>
      <xdr:col>9</xdr:col>
      <xdr:colOff>152400</xdr:colOff>
      <xdr:row>265</xdr:row>
      <xdr:rowOff>133350</xdr:rowOff>
    </xdr:to>
    <xdr:pic>
      <xdr:nvPicPr>
        <xdr:cNvPr id="264" name="Picture@FR\Qno venc.@" descr="@FR\Qno venc.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266</xdr:row>
      <xdr:rowOff>0</xdr:rowOff>
    </xdr:from>
    <xdr:to>
      <xdr:col>9</xdr:col>
      <xdr:colOff>152400</xdr:colOff>
      <xdr:row>266</xdr:row>
      <xdr:rowOff>133350</xdr:rowOff>
    </xdr:to>
    <xdr:pic>
      <xdr:nvPicPr>
        <xdr:cNvPr id="265" name="Picture@FR\Qno venc.@" descr="@FR\Qno venc.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267</xdr:row>
      <xdr:rowOff>0</xdr:rowOff>
    </xdr:from>
    <xdr:to>
      <xdr:col>9</xdr:col>
      <xdr:colOff>152400</xdr:colOff>
      <xdr:row>267</xdr:row>
      <xdr:rowOff>133350</xdr:rowOff>
    </xdr:to>
    <xdr:pic>
      <xdr:nvPicPr>
        <xdr:cNvPr id="266" name="Picture@FR\Qno venc.@" descr="@FR\Qno venc.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268</xdr:row>
      <xdr:rowOff>0</xdr:rowOff>
    </xdr:from>
    <xdr:to>
      <xdr:col>9</xdr:col>
      <xdr:colOff>152400</xdr:colOff>
      <xdr:row>268</xdr:row>
      <xdr:rowOff>133350</xdr:rowOff>
    </xdr:to>
    <xdr:pic>
      <xdr:nvPicPr>
        <xdr:cNvPr id="267" name="Picture@FR\Qno venc.@" descr="@FR\Qno venc.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269</xdr:row>
      <xdr:rowOff>0</xdr:rowOff>
    </xdr:from>
    <xdr:to>
      <xdr:col>9</xdr:col>
      <xdr:colOff>152400</xdr:colOff>
      <xdr:row>269</xdr:row>
      <xdr:rowOff>133350</xdr:rowOff>
    </xdr:to>
    <xdr:pic>
      <xdr:nvPicPr>
        <xdr:cNvPr id="268" name="Picture@FR\Qno venc.@" descr="@FR\Qno venc.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270</xdr:row>
      <xdr:rowOff>0</xdr:rowOff>
    </xdr:from>
    <xdr:to>
      <xdr:col>9</xdr:col>
      <xdr:colOff>152400</xdr:colOff>
      <xdr:row>270</xdr:row>
      <xdr:rowOff>133350</xdr:rowOff>
    </xdr:to>
    <xdr:pic>
      <xdr:nvPicPr>
        <xdr:cNvPr id="269" name="Picture@FR\Qno venc.@" descr="@FR\Qno venc.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271</xdr:row>
      <xdr:rowOff>0</xdr:rowOff>
    </xdr:from>
    <xdr:to>
      <xdr:col>9</xdr:col>
      <xdr:colOff>152400</xdr:colOff>
      <xdr:row>271</xdr:row>
      <xdr:rowOff>133350</xdr:rowOff>
    </xdr:to>
    <xdr:pic>
      <xdr:nvPicPr>
        <xdr:cNvPr id="270" name="Picture@FR\Qno venc.@" descr="@FR\Qno venc.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272</xdr:row>
      <xdr:rowOff>0</xdr:rowOff>
    </xdr:from>
    <xdr:to>
      <xdr:col>9</xdr:col>
      <xdr:colOff>152400</xdr:colOff>
      <xdr:row>272</xdr:row>
      <xdr:rowOff>133350</xdr:rowOff>
    </xdr:to>
    <xdr:pic>
      <xdr:nvPicPr>
        <xdr:cNvPr id="271" name="Picture@FR\Qno venc.@" descr="@FR\Qno venc.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273</xdr:row>
      <xdr:rowOff>0</xdr:rowOff>
    </xdr:from>
    <xdr:to>
      <xdr:col>9</xdr:col>
      <xdr:colOff>152400</xdr:colOff>
      <xdr:row>273</xdr:row>
      <xdr:rowOff>133350</xdr:rowOff>
    </xdr:to>
    <xdr:pic>
      <xdr:nvPicPr>
        <xdr:cNvPr id="272" name="Picture@FR\Qno venc.@" descr="@FR\Qno venc.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274</xdr:row>
      <xdr:rowOff>0</xdr:rowOff>
    </xdr:from>
    <xdr:to>
      <xdr:col>9</xdr:col>
      <xdr:colOff>152400</xdr:colOff>
      <xdr:row>274</xdr:row>
      <xdr:rowOff>133350</xdr:rowOff>
    </xdr:to>
    <xdr:pic>
      <xdr:nvPicPr>
        <xdr:cNvPr id="273" name="Picture@FR\Qno venc.@" descr="@FR\Qno venc.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275</xdr:row>
      <xdr:rowOff>0</xdr:rowOff>
    </xdr:from>
    <xdr:to>
      <xdr:col>9</xdr:col>
      <xdr:colOff>152400</xdr:colOff>
      <xdr:row>275</xdr:row>
      <xdr:rowOff>133350</xdr:rowOff>
    </xdr:to>
    <xdr:pic>
      <xdr:nvPicPr>
        <xdr:cNvPr id="274" name="Picture@FR\Qno venc.@" descr="@FR\Qno venc.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276</xdr:row>
      <xdr:rowOff>0</xdr:rowOff>
    </xdr:from>
    <xdr:to>
      <xdr:col>9</xdr:col>
      <xdr:colOff>152400</xdr:colOff>
      <xdr:row>276</xdr:row>
      <xdr:rowOff>133350</xdr:rowOff>
    </xdr:to>
    <xdr:pic>
      <xdr:nvPicPr>
        <xdr:cNvPr id="275" name="Picture@FR\Qno venc.@" descr="@FR\Qno venc.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277</xdr:row>
      <xdr:rowOff>0</xdr:rowOff>
    </xdr:from>
    <xdr:to>
      <xdr:col>9</xdr:col>
      <xdr:colOff>152400</xdr:colOff>
      <xdr:row>277</xdr:row>
      <xdr:rowOff>133350</xdr:rowOff>
    </xdr:to>
    <xdr:pic>
      <xdr:nvPicPr>
        <xdr:cNvPr id="276" name="Picture@FR\Qno venc.@" descr="@FR\Qno venc.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278</xdr:row>
      <xdr:rowOff>0</xdr:rowOff>
    </xdr:from>
    <xdr:to>
      <xdr:col>9</xdr:col>
      <xdr:colOff>152400</xdr:colOff>
      <xdr:row>278</xdr:row>
      <xdr:rowOff>133350</xdr:rowOff>
    </xdr:to>
    <xdr:pic>
      <xdr:nvPicPr>
        <xdr:cNvPr id="277" name="Picture@FR\Qno venc.@" descr="@FR\Qno venc.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279</xdr:row>
      <xdr:rowOff>0</xdr:rowOff>
    </xdr:from>
    <xdr:to>
      <xdr:col>9</xdr:col>
      <xdr:colOff>152400</xdr:colOff>
      <xdr:row>279</xdr:row>
      <xdr:rowOff>133350</xdr:rowOff>
    </xdr:to>
    <xdr:pic>
      <xdr:nvPicPr>
        <xdr:cNvPr id="278" name="Picture@FR\Qno venc.@" descr="@FR\Qno venc.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280</xdr:row>
      <xdr:rowOff>0</xdr:rowOff>
    </xdr:from>
    <xdr:to>
      <xdr:col>9</xdr:col>
      <xdr:colOff>152400</xdr:colOff>
      <xdr:row>280</xdr:row>
      <xdr:rowOff>133350</xdr:rowOff>
    </xdr:to>
    <xdr:pic>
      <xdr:nvPicPr>
        <xdr:cNvPr id="279" name="Picture@FR\Qno venc.@" descr="@FR\Qno venc.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281</xdr:row>
      <xdr:rowOff>0</xdr:rowOff>
    </xdr:from>
    <xdr:to>
      <xdr:col>9</xdr:col>
      <xdr:colOff>152400</xdr:colOff>
      <xdr:row>281</xdr:row>
      <xdr:rowOff>133350</xdr:rowOff>
    </xdr:to>
    <xdr:pic>
      <xdr:nvPicPr>
        <xdr:cNvPr id="280" name="Picture@FR\Qno venc.@" descr="@FR\Qno venc.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282</xdr:row>
      <xdr:rowOff>0</xdr:rowOff>
    </xdr:from>
    <xdr:to>
      <xdr:col>9</xdr:col>
      <xdr:colOff>152400</xdr:colOff>
      <xdr:row>282</xdr:row>
      <xdr:rowOff>133350</xdr:rowOff>
    </xdr:to>
    <xdr:pic>
      <xdr:nvPicPr>
        <xdr:cNvPr id="281" name="Picture@FR\Qno venc.@" descr="@FR\Qno venc.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283</xdr:row>
      <xdr:rowOff>0</xdr:rowOff>
    </xdr:from>
    <xdr:to>
      <xdr:col>9</xdr:col>
      <xdr:colOff>152400</xdr:colOff>
      <xdr:row>283</xdr:row>
      <xdr:rowOff>133350</xdr:rowOff>
    </xdr:to>
    <xdr:pic>
      <xdr:nvPicPr>
        <xdr:cNvPr id="282" name="Picture@FR\Qno venc.@" descr="@FR\Qno venc.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284</xdr:row>
      <xdr:rowOff>0</xdr:rowOff>
    </xdr:from>
    <xdr:to>
      <xdr:col>9</xdr:col>
      <xdr:colOff>152400</xdr:colOff>
      <xdr:row>284</xdr:row>
      <xdr:rowOff>133350</xdr:rowOff>
    </xdr:to>
    <xdr:pic>
      <xdr:nvPicPr>
        <xdr:cNvPr id="283" name="Picture@FR\Qno venc.@" descr="@FR\Qno venc.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285</xdr:row>
      <xdr:rowOff>0</xdr:rowOff>
    </xdr:from>
    <xdr:to>
      <xdr:col>9</xdr:col>
      <xdr:colOff>152400</xdr:colOff>
      <xdr:row>285</xdr:row>
      <xdr:rowOff>133350</xdr:rowOff>
    </xdr:to>
    <xdr:pic>
      <xdr:nvPicPr>
        <xdr:cNvPr id="284" name="Picture@FR\Qno venc.@" descr="@FR\Qno venc.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286</xdr:row>
      <xdr:rowOff>0</xdr:rowOff>
    </xdr:from>
    <xdr:to>
      <xdr:col>9</xdr:col>
      <xdr:colOff>152400</xdr:colOff>
      <xdr:row>286</xdr:row>
      <xdr:rowOff>133350</xdr:rowOff>
    </xdr:to>
    <xdr:pic>
      <xdr:nvPicPr>
        <xdr:cNvPr id="285" name="Picture@FR\Qno venc.@" descr="@FR\Qno venc.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287</xdr:row>
      <xdr:rowOff>0</xdr:rowOff>
    </xdr:from>
    <xdr:to>
      <xdr:col>9</xdr:col>
      <xdr:colOff>152400</xdr:colOff>
      <xdr:row>287</xdr:row>
      <xdr:rowOff>133350</xdr:rowOff>
    </xdr:to>
    <xdr:pic>
      <xdr:nvPicPr>
        <xdr:cNvPr id="286" name="Picture@FR\Qno venc.@" descr="@FR\Qno venc.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288</xdr:row>
      <xdr:rowOff>0</xdr:rowOff>
    </xdr:from>
    <xdr:to>
      <xdr:col>9</xdr:col>
      <xdr:colOff>152400</xdr:colOff>
      <xdr:row>288</xdr:row>
      <xdr:rowOff>133350</xdr:rowOff>
    </xdr:to>
    <xdr:pic>
      <xdr:nvPicPr>
        <xdr:cNvPr id="287" name="Picture@FR\Qno venc.@" descr="@FR\Qno venc.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289</xdr:row>
      <xdr:rowOff>0</xdr:rowOff>
    </xdr:from>
    <xdr:to>
      <xdr:col>9</xdr:col>
      <xdr:colOff>152400</xdr:colOff>
      <xdr:row>289</xdr:row>
      <xdr:rowOff>133350</xdr:rowOff>
    </xdr:to>
    <xdr:pic>
      <xdr:nvPicPr>
        <xdr:cNvPr id="288" name="Picture@FR\Qno venc.@" descr="@FR\Qno venc.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290</xdr:row>
      <xdr:rowOff>0</xdr:rowOff>
    </xdr:from>
    <xdr:to>
      <xdr:col>9</xdr:col>
      <xdr:colOff>152400</xdr:colOff>
      <xdr:row>290</xdr:row>
      <xdr:rowOff>133350</xdr:rowOff>
    </xdr:to>
    <xdr:pic>
      <xdr:nvPicPr>
        <xdr:cNvPr id="289" name="Picture@FR\Qno venc.@" descr="@FR\Qno venc.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291</xdr:row>
      <xdr:rowOff>0</xdr:rowOff>
    </xdr:from>
    <xdr:to>
      <xdr:col>9</xdr:col>
      <xdr:colOff>152400</xdr:colOff>
      <xdr:row>291</xdr:row>
      <xdr:rowOff>133350</xdr:rowOff>
    </xdr:to>
    <xdr:pic>
      <xdr:nvPicPr>
        <xdr:cNvPr id="290" name="Picture@FR\Qno venc.@" descr="@FR\Qno venc.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292</xdr:row>
      <xdr:rowOff>0</xdr:rowOff>
    </xdr:from>
    <xdr:to>
      <xdr:col>9</xdr:col>
      <xdr:colOff>152400</xdr:colOff>
      <xdr:row>292</xdr:row>
      <xdr:rowOff>133350</xdr:rowOff>
    </xdr:to>
    <xdr:pic>
      <xdr:nvPicPr>
        <xdr:cNvPr id="291" name="Picture@FR\Qno venc.@" descr="@FR\Qno venc.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293</xdr:row>
      <xdr:rowOff>0</xdr:rowOff>
    </xdr:from>
    <xdr:to>
      <xdr:col>9</xdr:col>
      <xdr:colOff>152400</xdr:colOff>
      <xdr:row>293</xdr:row>
      <xdr:rowOff>133350</xdr:rowOff>
    </xdr:to>
    <xdr:pic>
      <xdr:nvPicPr>
        <xdr:cNvPr id="292" name="Picture@FR\Qno venc.@" descr="@FR\Qno venc.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294</xdr:row>
      <xdr:rowOff>0</xdr:rowOff>
    </xdr:from>
    <xdr:to>
      <xdr:col>9</xdr:col>
      <xdr:colOff>152400</xdr:colOff>
      <xdr:row>294</xdr:row>
      <xdr:rowOff>133350</xdr:rowOff>
    </xdr:to>
    <xdr:pic>
      <xdr:nvPicPr>
        <xdr:cNvPr id="293" name="Picture@FR\Qno venc.@" descr="@FR\Qno venc.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295</xdr:row>
      <xdr:rowOff>0</xdr:rowOff>
    </xdr:from>
    <xdr:to>
      <xdr:col>9</xdr:col>
      <xdr:colOff>152400</xdr:colOff>
      <xdr:row>295</xdr:row>
      <xdr:rowOff>133350</xdr:rowOff>
    </xdr:to>
    <xdr:pic>
      <xdr:nvPicPr>
        <xdr:cNvPr id="294" name="Picture@FR\Qno venc.@" descr="@FR\Qno venc.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296</xdr:row>
      <xdr:rowOff>0</xdr:rowOff>
    </xdr:from>
    <xdr:to>
      <xdr:col>9</xdr:col>
      <xdr:colOff>152400</xdr:colOff>
      <xdr:row>296</xdr:row>
      <xdr:rowOff>133350</xdr:rowOff>
    </xdr:to>
    <xdr:pic>
      <xdr:nvPicPr>
        <xdr:cNvPr id="295" name="Picture@FR\Qno venc.@" descr="@FR\Qno venc.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297</xdr:row>
      <xdr:rowOff>0</xdr:rowOff>
    </xdr:from>
    <xdr:to>
      <xdr:col>9</xdr:col>
      <xdr:colOff>152400</xdr:colOff>
      <xdr:row>297</xdr:row>
      <xdr:rowOff>133350</xdr:rowOff>
    </xdr:to>
    <xdr:pic>
      <xdr:nvPicPr>
        <xdr:cNvPr id="296" name="Picture@FR\Qno venc.@" descr="@FR\Qno venc.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298</xdr:row>
      <xdr:rowOff>0</xdr:rowOff>
    </xdr:from>
    <xdr:to>
      <xdr:col>9</xdr:col>
      <xdr:colOff>152400</xdr:colOff>
      <xdr:row>298</xdr:row>
      <xdr:rowOff>133350</xdr:rowOff>
    </xdr:to>
    <xdr:pic>
      <xdr:nvPicPr>
        <xdr:cNvPr id="297" name="Picture@FR\Qno venc.@" descr="@FR\Qno venc.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299</xdr:row>
      <xdr:rowOff>0</xdr:rowOff>
    </xdr:from>
    <xdr:to>
      <xdr:col>9</xdr:col>
      <xdr:colOff>152400</xdr:colOff>
      <xdr:row>299</xdr:row>
      <xdr:rowOff>133350</xdr:rowOff>
    </xdr:to>
    <xdr:pic>
      <xdr:nvPicPr>
        <xdr:cNvPr id="298" name="Picture@FR\Qno venc.@" descr="@FR\Qno venc.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300</xdr:row>
      <xdr:rowOff>0</xdr:rowOff>
    </xdr:from>
    <xdr:to>
      <xdr:col>9</xdr:col>
      <xdr:colOff>152400</xdr:colOff>
      <xdr:row>300</xdr:row>
      <xdr:rowOff>133350</xdr:rowOff>
    </xdr:to>
    <xdr:pic>
      <xdr:nvPicPr>
        <xdr:cNvPr id="299" name="Picture@FR\Qno venc.@" descr="@FR\Qno venc.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301</xdr:row>
      <xdr:rowOff>0</xdr:rowOff>
    </xdr:from>
    <xdr:to>
      <xdr:col>9</xdr:col>
      <xdr:colOff>152400</xdr:colOff>
      <xdr:row>301</xdr:row>
      <xdr:rowOff>133350</xdr:rowOff>
    </xdr:to>
    <xdr:pic>
      <xdr:nvPicPr>
        <xdr:cNvPr id="300" name="Picture@FR\Qno venc.@" descr="@FR\Qno venc.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302</xdr:row>
      <xdr:rowOff>0</xdr:rowOff>
    </xdr:from>
    <xdr:to>
      <xdr:col>9</xdr:col>
      <xdr:colOff>152400</xdr:colOff>
      <xdr:row>302</xdr:row>
      <xdr:rowOff>133350</xdr:rowOff>
    </xdr:to>
    <xdr:pic>
      <xdr:nvPicPr>
        <xdr:cNvPr id="301" name="Picture@FR\Qno venc.@" descr="@FR\Qno venc.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303</xdr:row>
      <xdr:rowOff>0</xdr:rowOff>
    </xdr:from>
    <xdr:to>
      <xdr:col>9</xdr:col>
      <xdr:colOff>152400</xdr:colOff>
      <xdr:row>303</xdr:row>
      <xdr:rowOff>133350</xdr:rowOff>
    </xdr:to>
    <xdr:pic>
      <xdr:nvPicPr>
        <xdr:cNvPr id="302" name="Picture@FR\Qno venc.@" descr="@FR\Qno venc.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304</xdr:row>
      <xdr:rowOff>0</xdr:rowOff>
    </xdr:from>
    <xdr:to>
      <xdr:col>9</xdr:col>
      <xdr:colOff>152400</xdr:colOff>
      <xdr:row>304</xdr:row>
      <xdr:rowOff>133350</xdr:rowOff>
    </xdr:to>
    <xdr:pic>
      <xdr:nvPicPr>
        <xdr:cNvPr id="303" name="Picture@FR\Qno venc.@" descr="@FR\Qno venc.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305</xdr:row>
      <xdr:rowOff>0</xdr:rowOff>
    </xdr:from>
    <xdr:to>
      <xdr:col>9</xdr:col>
      <xdr:colOff>152400</xdr:colOff>
      <xdr:row>305</xdr:row>
      <xdr:rowOff>133350</xdr:rowOff>
    </xdr:to>
    <xdr:pic>
      <xdr:nvPicPr>
        <xdr:cNvPr id="304" name="Picture@FR\Qno venc.@" descr="@FR\Qno venc.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306</xdr:row>
      <xdr:rowOff>0</xdr:rowOff>
    </xdr:from>
    <xdr:to>
      <xdr:col>9</xdr:col>
      <xdr:colOff>152400</xdr:colOff>
      <xdr:row>306</xdr:row>
      <xdr:rowOff>133350</xdr:rowOff>
    </xdr:to>
    <xdr:pic>
      <xdr:nvPicPr>
        <xdr:cNvPr id="305" name="Picture@FR\Qno venc.@" descr="@FR\Qno venc.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307</xdr:row>
      <xdr:rowOff>0</xdr:rowOff>
    </xdr:from>
    <xdr:to>
      <xdr:col>9</xdr:col>
      <xdr:colOff>152400</xdr:colOff>
      <xdr:row>307</xdr:row>
      <xdr:rowOff>133350</xdr:rowOff>
    </xdr:to>
    <xdr:pic>
      <xdr:nvPicPr>
        <xdr:cNvPr id="306" name="Picture@FR\Qno venc.@" descr="@FR\Qno venc.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308</xdr:row>
      <xdr:rowOff>0</xdr:rowOff>
    </xdr:from>
    <xdr:to>
      <xdr:col>9</xdr:col>
      <xdr:colOff>152400</xdr:colOff>
      <xdr:row>308</xdr:row>
      <xdr:rowOff>133350</xdr:rowOff>
    </xdr:to>
    <xdr:pic>
      <xdr:nvPicPr>
        <xdr:cNvPr id="307" name="Picture@FR\Qno venc.@" descr="@FR\Qno venc.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309</xdr:row>
      <xdr:rowOff>0</xdr:rowOff>
    </xdr:from>
    <xdr:to>
      <xdr:col>9</xdr:col>
      <xdr:colOff>152400</xdr:colOff>
      <xdr:row>309</xdr:row>
      <xdr:rowOff>133350</xdr:rowOff>
    </xdr:to>
    <xdr:pic>
      <xdr:nvPicPr>
        <xdr:cNvPr id="308" name="Picture@FR\Qno venc.@" descr="@FR\Qno venc.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310</xdr:row>
      <xdr:rowOff>0</xdr:rowOff>
    </xdr:from>
    <xdr:to>
      <xdr:col>9</xdr:col>
      <xdr:colOff>152400</xdr:colOff>
      <xdr:row>310</xdr:row>
      <xdr:rowOff>133350</xdr:rowOff>
    </xdr:to>
    <xdr:pic>
      <xdr:nvPicPr>
        <xdr:cNvPr id="309" name="Picture@FR\Qno venc.@" descr="@FR\Qno venc.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311</xdr:row>
      <xdr:rowOff>0</xdr:rowOff>
    </xdr:from>
    <xdr:to>
      <xdr:col>9</xdr:col>
      <xdr:colOff>152400</xdr:colOff>
      <xdr:row>311</xdr:row>
      <xdr:rowOff>133350</xdr:rowOff>
    </xdr:to>
    <xdr:pic>
      <xdr:nvPicPr>
        <xdr:cNvPr id="310" name="Picture@FR\Qno venc.@" descr="@FR\Qno venc.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312</xdr:row>
      <xdr:rowOff>0</xdr:rowOff>
    </xdr:from>
    <xdr:to>
      <xdr:col>9</xdr:col>
      <xdr:colOff>152400</xdr:colOff>
      <xdr:row>312</xdr:row>
      <xdr:rowOff>133350</xdr:rowOff>
    </xdr:to>
    <xdr:pic>
      <xdr:nvPicPr>
        <xdr:cNvPr id="311" name="Picture@FR\Qno venc.@" descr="@FR\Qno venc.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313</xdr:row>
      <xdr:rowOff>0</xdr:rowOff>
    </xdr:from>
    <xdr:to>
      <xdr:col>9</xdr:col>
      <xdr:colOff>152400</xdr:colOff>
      <xdr:row>313</xdr:row>
      <xdr:rowOff>133350</xdr:rowOff>
    </xdr:to>
    <xdr:pic>
      <xdr:nvPicPr>
        <xdr:cNvPr id="312" name="Picture@FR\Qno venc.@" descr="@FR\Qno venc.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314</xdr:row>
      <xdr:rowOff>0</xdr:rowOff>
    </xdr:from>
    <xdr:to>
      <xdr:col>9</xdr:col>
      <xdr:colOff>152400</xdr:colOff>
      <xdr:row>314</xdr:row>
      <xdr:rowOff>133350</xdr:rowOff>
    </xdr:to>
    <xdr:pic>
      <xdr:nvPicPr>
        <xdr:cNvPr id="313" name="Picture@FR\Qno venc.@" descr="@FR\Qno venc.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315</xdr:row>
      <xdr:rowOff>0</xdr:rowOff>
    </xdr:from>
    <xdr:to>
      <xdr:col>9</xdr:col>
      <xdr:colOff>152400</xdr:colOff>
      <xdr:row>315</xdr:row>
      <xdr:rowOff>133350</xdr:rowOff>
    </xdr:to>
    <xdr:pic>
      <xdr:nvPicPr>
        <xdr:cNvPr id="314" name="Picture@FR\Qno venc.@" descr="@FR\Qno venc.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316</xdr:row>
      <xdr:rowOff>0</xdr:rowOff>
    </xdr:from>
    <xdr:to>
      <xdr:col>9</xdr:col>
      <xdr:colOff>152400</xdr:colOff>
      <xdr:row>316</xdr:row>
      <xdr:rowOff>133350</xdr:rowOff>
    </xdr:to>
    <xdr:pic>
      <xdr:nvPicPr>
        <xdr:cNvPr id="315" name="Picture@FR\Qno venc.@" descr="@FR\Qno venc.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317</xdr:row>
      <xdr:rowOff>0</xdr:rowOff>
    </xdr:from>
    <xdr:to>
      <xdr:col>9</xdr:col>
      <xdr:colOff>152400</xdr:colOff>
      <xdr:row>317</xdr:row>
      <xdr:rowOff>133350</xdr:rowOff>
    </xdr:to>
    <xdr:pic>
      <xdr:nvPicPr>
        <xdr:cNvPr id="316" name="Picture@FR\Qno venc.@" descr="@FR\Qno venc.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318</xdr:row>
      <xdr:rowOff>0</xdr:rowOff>
    </xdr:from>
    <xdr:to>
      <xdr:col>9</xdr:col>
      <xdr:colOff>152400</xdr:colOff>
      <xdr:row>318</xdr:row>
      <xdr:rowOff>133350</xdr:rowOff>
    </xdr:to>
    <xdr:pic>
      <xdr:nvPicPr>
        <xdr:cNvPr id="317" name="Picture@FR\Qno venc.@" descr="@FR\Qno venc.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319</xdr:row>
      <xdr:rowOff>0</xdr:rowOff>
    </xdr:from>
    <xdr:to>
      <xdr:col>9</xdr:col>
      <xdr:colOff>152400</xdr:colOff>
      <xdr:row>319</xdr:row>
      <xdr:rowOff>133350</xdr:rowOff>
    </xdr:to>
    <xdr:pic>
      <xdr:nvPicPr>
        <xdr:cNvPr id="318" name="Picture@FR\Qno venc.@" descr="@FR\Qno venc.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320</xdr:row>
      <xdr:rowOff>0</xdr:rowOff>
    </xdr:from>
    <xdr:to>
      <xdr:col>9</xdr:col>
      <xdr:colOff>152400</xdr:colOff>
      <xdr:row>320</xdr:row>
      <xdr:rowOff>133350</xdr:rowOff>
    </xdr:to>
    <xdr:pic>
      <xdr:nvPicPr>
        <xdr:cNvPr id="319" name="Picture@FR\Qno venc.@" descr="@FR\Qno venc.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321</xdr:row>
      <xdr:rowOff>0</xdr:rowOff>
    </xdr:from>
    <xdr:to>
      <xdr:col>9</xdr:col>
      <xdr:colOff>152400</xdr:colOff>
      <xdr:row>321</xdr:row>
      <xdr:rowOff>133350</xdr:rowOff>
    </xdr:to>
    <xdr:pic>
      <xdr:nvPicPr>
        <xdr:cNvPr id="320" name="Picture@FR\Qno venc.@" descr="@FR\Qno venc.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322</xdr:row>
      <xdr:rowOff>0</xdr:rowOff>
    </xdr:from>
    <xdr:to>
      <xdr:col>9</xdr:col>
      <xdr:colOff>152400</xdr:colOff>
      <xdr:row>322</xdr:row>
      <xdr:rowOff>133350</xdr:rowOff>
    </xdr:to>
    <xdr:pic>
      <xdr:nvPicPr>
        <xdr:cNvPr id="321" name="Picture@FR\Qno venc.@" descr="@FR\Qno venc.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323</xdr:row>
      <xdr:rowOff>0</xdr:rowOff>
    </xdr:from>
    <xdr:to>
      <xdr:col>9</xdr:col>
      <xdr:colOff>152400</xdr:colOff>
      <xdr:row>323</xdr:row>
      <xdr:rowOff>133350</xdr:rowOff>
    </xdr:to>
    <xdr:pic>
      <xdr:nvPicPr>
        <xdr:cNvPr id="322" name="Picture@FR\Qno venc.@" descr="@FR\Qno venc.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324</xdr:row>
      <xdr:rowOff>0</xdr:rowOff>
    </xdr:from>
    <xdr:to>
      <xdr:col>9</xdr:col>
      <xdr:colOff>152400</xdr:colOff>
      <xdr:row>324</xdr:row>
      <xdr:rowOff>133350</xdr:rowOff>
    </xdr:to>
    <xdr:pic>
      <xdr:nvPicPr>
        <xdr:cNvPr id="323" name="Picture@FR\Qno venc.@" descr="@FR\Qno venc.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325</xdr:row>
      <xdr:rowOff>0</xdr:rowOff>
    </xdr:from>
    <xdr:to>
      <xdr:col>9</xdr:col>
      <xdr:colOff>152400</xdr:colOff>
      <xdr:row>325</xdr:row>
      <xdr:rowOff>133350</xdr:rowOff>
    </xdr:to>
    <xdr:pic>
      <xdr:nvPicPr>
        <xdr:cNvPr id="324" name="Picture@FR\Qno venc.@" descr="@FR\Qno venc.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326</xdr:row>
      <xdr:rowOff>0</xdr:rowOff>
    </xdr:from>
    <xdr:to>
      <xdr:col>9</xdr:col>
      <xdr:colOff>152400</xdr:colOff>
      <xdr:row>326</xdr:row>
      <xdr:rowOff>133350</xdr:rowOff>
    </xdr:to>
    <xdr:pic>
      <xdr:nvPicPr>
        <xdr:cNvPr id="325" name="Picture@FR\Qno venc.@" descr="@FR\Qno venc.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327</xdr:row>
      <xdr:rowOff>0</xdr:rowOff>
    </xdr:from>
    <xdr:to>
      <xdr:col>9</xdr:col>
      <xdr:colOff>152400</xdr:colOff>
      <xdr:row>327</xdr:row>
      <xdr:rowOff>133350</xdr:rowOff>
    </xdr:to>
    <xdr:pic>
      <xdr:nvPicPr>
        <xdr:cNvPr id="326" name="Picture@FR\Qno venc.@" descr="@FR\Qno venc.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328</xdr:row>
      <xdr:rowOff>0</xdr:rowOff>
    </xdr:from>
    <xdr:to>
      <xdr:col>9</xdr:col>
      <xdr:colOff>152400</xdr:colOff>
      <xdr:row>328</xdr:row>
      <xdr:rowOff>133350</xdr:rowOff>
    </xdr:to>
    <xdr:pic>
      <xdr:nvPicPr>
        <xdr:cNvPr id="327" name="Picture@FR\Qno venc.@" descr="@FR\Qno venc.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329</xdr:row>
      <xdr:rowOff>0</xdr:rowOff>
    </xdr:from>
    <xdr:to>
      <xdr:col>9</xdr:col>
      <xdr:colOff>152400</xdr:colOff>
      <xdr:row>329</xdr:row>
      <xdr:rowOff>133350</xdr:rowOff>
    </xdr:to>
    <xdr:pic>
      <xdr:nvPicPr>
        <xdr:cNvPr id="328" name="Picture@FR\Qno venc.@" descr="@FR\Qno venc.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330</xdr:row>
      <xdr:rowOff>0</xdr:rowOff>
    </xdr:from>
    <xdr:to>
      <xdr:col>9</xdr:col>
      <xdr:colOff>152400</xdr:colOff>
      <xdr:row>330</xdr:row>
      <xdr:rowOff>133350</xdr:rowOff>
    </xdr:to>
    <xdr:pic>
      <xdr:nvPicPr>
        <xdr:cNvPr id="329" name="Picture@FR\Qno venc.@" descr="@FR\Qno venc.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331</xdr:row>
      <xdr:rowOff>0</xdr:rowOff>
    </xdr:from>
    <xdr:to>
      <xdr:col>9</xdr:col>
      <xdr:colOff>152400</xdr:colOff>
      <xdr:row>331</xdr:row>
      <xdr:rowOff>133350</xdr:rowOff>
    </xdr:to>
    <xdr:pic>
      <xdr:nvPicPr>
        <xdr:cNvPr id="330" name="Picture@FR\Qno venc.@" descr="@FR\Qno venc.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332</xdr:row>
      <xdr:rowOff>0</xdr:rowOff>
    </xdr:from>
    <xdr:to>
      <xdr:col>9</xdr:col>
      <xdr:colOff>152400</xdr:colOff>
      <xdr:row>332</xdr:row>
      <xdr:rowOff>133350</xdr:rowOff>
    </xdr:to>
    <xdr:pic>
      <xdr:nvPicPr>
        <xdr:cNvPr id="331" name="Picture@FR\Qno venc.@" descr="@FR\Qno venc.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333</xdr:row>
      <xdr:rowOff>0</xdr:rowOff>
    </xdr:from>
    <xdr:to>
      <xdr:col>9</xdr:col>
      <xdr:colOff>152400</xdr:colOff>
      <xdr:row>333</xdr:row>
      <xdr:rowOff>133350</xdr:rowOff>
    </xdr:to>
    <xdr:pic>
      <xdr:nvPicPr>
        <xdr:cNvPr id="332" name="Picture@FR\Qno venc.@" descr="@FR\Qno venc.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334</xdr:row>
      <xdr:rowOff>0</xdr:rowOff>
    </xdr:from>
    <xdr:to>
      <xdr:col>9</xdr:col>
      <xdr:colOff>152400</xdr:colOff>
      <xdr:row>334</xdr:row>
      <xdr:rowOff>133350</xdr:rowOff>
    </xdr:to>
    <xdr:pic>
      <xdr:nvPicPr>
        <xdr:cNvPr id="333" name="Picture@FR\Qno venc.@" descr="@FR\Qno venc.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335</xdr:row>
      <xdr:rowOff>0</xdr:rowOff>
    </xdr:from>
    <xdr:to>
      <xdr:col>9</xdr:col>
      <xdr:colOff>152400</xdr:colOff>
      <xdr:row>335</xdr:row>
      <xdr:rowOff>133350</xdr:rowOff>
    </xdr:to>
    <xdr:pic>
      <xdr:nvPicPr>
        <xdr:cNvPr id="334" name="Picture@FR\Qno venc.@" descr="@FR\Qno venc.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336</xdr:row>
      <xdr:rowOff>0</xdr:rowOff>
    </xdr:from>
    <xdr:to>
      <xdr:col>9</xdr:col>
      <xdr:colOff>152400</xdr:colOff>
      <xdr:row>336</xdr:row>
      <xdr:rowOff>133350</xdr:rowOff>
    </xdr:to>
    <xdr:pic>
      <xdr:nvPicPr>
        <xdr:cNvPr id="335" name="Picture@FR\Qno venc.@" descr="@FR\Qno venc.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337</xdr:row>
      <xdr:rowOff>0</xdr:rowOff>
    </xdr:from>
    <xdr:to>
      <xdr:col>9</xdr:col>
      <xdr:colOff>152400</xdr:colOff>
      <xdr:row>337</xdr:row>
      <xdr:rowOff>133350</xdr:rowOff>
    </xdr:to>
    <xdr:pic>
      <xdr:nvPicPr>
        <xdr:cNvPr id="336" name="Picture@FR\Qno venc.@" descr="@FR\Qno venc.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338</xdr:row>
      <xdr:rowOff>0</xdr:rowOff>
    </xdr:from>
    <xdr:to>
      <xdr:col>9</xdr:col>
      <xdr:colOff>152400</xdr:colOff>
      <xdr:row>338</xdr:row>
      <xdr:rowOff>133350</xdr:rowOff>
    </xdr:to>
    <xdr:pic>
      <xdr:nvPicPr>
        <xdr:cNvPr id="337" name="Picture@FR\Qno venc.@" descr="@FR\Qno venc.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339</xdr:row>
      <xdr:rowOff>0</xdr:rowOff>
    </xdr:from>
    <xdr:to>
      <xdr:col>9</xdr:col>
      <xdr:colOff>152400</xdr:colOff>
      <xdr:row>339</xdr:row>
      <xdr:rowOff>133350</xdr:rowOff>
    </xdr:to>
    <xdr:pic>
      <xdr:nvPicPr>
        <xdr:cNvPr id="338" name="Picture@FR\Qno venc.@" descr="@FR\Qno venc.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340</xdr:row>
      <xdr:rowOff>0</xdr:rowOff>
    </xdr:from>
    <xdr:to>
      <xdr:col>9</xdr:col>
      <xdr:colOff>152400</xdr:colOff>
      <xdr:row>340</xdr:row>
      <xdr:rowOff>133350</xdr:rowOff>
    </xdr:to>
    <xdr:pic>
      <xdr:nvPicPr>
        <xdr:cNvPr id="339" name="Picture@FR\Qno venc.@" descr="@FR\Qno venc.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341</xdr:row>
      <xdr:rowOff>0</xdr:rowOff>
    </xdr:from>
    <xdr:to>
      <xdr:col>9</xdr:col>
      <xdr:colOff>152400</xdr:colOff>
      <xdr:row>341</xdr:row>
      <xdr:rowOff>133350</xdr:rowOff>
    </xdr:to>
    <xdr:pic>
      <xdr:nvPicPr>
        <xdr:cNvPr id="340" name="Picture@FR\Qno venc.@" descr="@FR\Qno venc.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342</xdr:row>
      <xdr:rowOff>0</xdr:rowOff>
    </xdr:from>
    <xdr:to>
      <xdr:col>9</xdr:col>
      <xdr:colOff>152400</xdr:colOff>
      <xdr:row>342</xdr:row>
      <xdr:rowOff>133350</xdr:rowOff>
    </xdr:to>
    <xdr:pic>
      <xdr:nvPicPr>
        <xdr:cNvPr id="341" name="Picture@FR\Qno venc.@" descr="@FR\Qno venc.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343</xdr:row>
      <xdr:rowOff>0</xdr:rowOff>
    </xdr:from>
    <xdr:to>
      <xdr:col>9</xdr:col>
      <xdr:colOff>152400</xdr:colOff>
      <xdr:row>343</xdr:row>
      <xdr:rowOff>133350</xdr:rowOff>
    </xdr:to>
    <xdr:pic>
      <xdr:nvPicPr>
        <xdr:cNvPr id="342" name="Picture@FR\Qno venc.@" descr="@FR\Qno venc.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9</xdr:col>
      <xdr:colOff>0</xdr:colOff>
      <xdr:row>344</xdr:row>
      <xdr:rowOff>0</xdr:rowOff>
    </xdr:from>
    <xdr:to>
      <xdr:col>9</xdr:col>
      <xdr:colOff>152400</xdr:colOff>
      <xdr:row>344</xdr:row>
      <xdr:rowOff>133350</xdr:rowOff>
    </xdr:to>
    <xdr:pic>
      <xdr:nvPicPr>
        <xdr:cNvPr id="343" name="Picture@FR\Qno venc.@" descr="@FR\Qno venc.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9"/>
  <sheetViews>
    <sheetView tabSelected="1" topLeftCell="J1" workbookViewId="0">
      <selection activeCell="O1" sqref="O1"/>
    </sheetView>
  </sheetViews>
  <sheetFormatPr defaultRowHeight="13.2" outlineLevelRow="2" x14ac:dyDescent="0.25"/>
  <cols>
    <col min="1" max="2" width="61.33203125" bestFit="1" customWidth="1"/>
    <col min="3" max="3" width="12" bestFit="1" customWidth="1"/>
    <col min="4" max="4" width="20" bestFit="1" customWidth="1"/>
    <col min="5" max="5" width="18" bestFit="1" customWidth="1"/>
    <col min="6" max="6" width="12" bestFit="1" customWidth="1"/>
    <col min="7" max="7" width="14" bestFit="1" customWidth="1"/>
    <col min="8" max="8" width="37" bestFit="1" customWidth="1"/>
    <col min="9" max="9" width="37" customWidth="1"/>
    <col min="10" max="10" width="16" bestFit="1" customWidth="1"/>
    <col min="11" max="11" width="18" bestFit="1" customWidth="1"/>
    <col min="12" max="12" width="13" bestFit="1" customWidth="1"/>
    <col min="13" max="13" width="14" bestFit="1" customWidth="1"/>
    <col min="14" max="14" width="13" bestFit="1" customWidth="1"/>
    <col min="15" max="15" width="20" bestFit="1" customWidth="1"/>
    <col min="16" max="16" width="12" bestFit="1" customWidth="1"/>
    <col min="17" max="17" width="18" bestFit="1" customWidth="1"/>
    <col min="18" max="19" width="10" bestFit="1" customWidth="1"/>
    <col min="20" max="20" width="52" bestFit="1" customWidth="1"/>
    <col min="21" max="21" width="18" bestFit="1" customWidth="1"/>
    <col min="22" max="22" width="20" bestFit="1" customWidth="1"/>
    <col min="23" max="23" width="17" bestFit="1" customWidth="1"/>
  </cols>
  <sheetData>
    <row r="1" spans="1:23" ht="39.6" x14ac:dyDescent="0.25">
      <c r="B1" s="1"/>
      <c r="C1" s="1" t="s">
        <v>1928</v>
      </c>
      <c r="D1" s="1" t="s">
        <v>1929</v>
      </c>
      <c r="E1" s="1" t="s">
        <v>1930</v>
      </c>
      <c r="F1" s="15" t="s">
        <v>1931</v>
      </c>
      <c r="G1" s="1" t="s">
        <v>1932</v>
      </c>
      <c r="H1" s="1" t="s">
        <v>1933</v>
      </c>
      <c r="I1" s="1"/>
      <c r="J1" s="15" t="s">
        <v>1934</v>
      </c>
      <c r="K1" s="1" t="s">
        <v>1935</v>
      </c>
      <c r="L1" s="15" t="s">
        <v>1936</v>
      </c>
      <c r="M1" s="15" t="s">
        <v>1937</v>
      </c>
      <c r="N1" s="15" t="s">
        <v>1938</v>
      </c>
      <c r="O1" s="1" t="s">
        <v>1939</v>
      </c>
      <c r="P1" s="1" t="s">
        <v>1940</v>
      </c>
      <c r="Q1" s="15" t="s">
        <v>1941</v>
      </c>
      <c r="R1" s="1" t="s">
        <v>1942</v>
      </c>
      <c r="S1" s="15" t="s">
        <v>1943</v>
      </c>
      <c r="T1" s="1" t="s">
        <v>1944</v>
      </c>
      <c r="U1" s="1" t="s">
        <v>1945</v>
      </c>
      <c r="V1" s="1" t="s">
        <v>1946</v>
      </c>
      <c r="W1" s="1" t="s">
        <v>1947</v>
      </c>
    </row>
    <row r="2" spans="1:23" ht="14.1" customHeight="1" outlineLevel="2" x14ac:dyDescent="0.25">
      <c r="A2" t="str">
        <f>+C2&amp;H2&amp;L2</f>
        <v>9990051130POLIMPORT COMERCIO E EXPORTAÇÃO28757,69</v>
      </c>
      <c r="B2" t="s">
        <v>1948</v>
      </c>
      <c r="C2">
        <v>9990051130</v>
      </c>
      <c r="D2" s="2">
        <v>44663</v>
      </c>
      <c r="E2" t="s">
        <v>0</v>
      </c>
      <c r="F2" t="s">
        <v>1</v>
      </c>
      <c r="G2" t="s">
        <v>2</v>
      </c>
      <c r="H2" t="s">
        <v>3</v>
      </c>
      <c r="J2" s="3" t="s">
        <v>4</v>
      </c>
      <c r="K2" s="2">
        <v>44742</v>
      </c>
      <c r="L2" s="4">
        <v>28757.69</v>
      </c>
      <c r="M2" t="s">
        <v>5</v>
      </c>
      <c r="N2" s="4">
        <v>28757.69</v>
      </c>
      <c r="O2" t="s">
        <v>6</v>
      </c>
      <c r="P2" s="4">
        <v>26097.61</v>
      </c>
      <c r="Q2" s="5">
        <v>0</v>
      </c>
      <c r="R2" t="s">
        <v>7</v>
      </c>
      <c r="S2" t="s">
        <v>8</v>
      </c>
      <c r="T2" t="s">
        <v>4</v>
      </c>
      <c r="U2" t="s">
        <v>9</v>
      </c>
      <c r="V2" s="2">
        <v>44743</v>
      </c>
      <c r="W2" t="s">
        <v>10</v>
      </c>
    </row>
    <row r="3" spans="1:23" ht="14.1" customHeight="1" outlineLevel="2" x14ac:dyDescent="0.25">
      <c r="A3" t="str">
        <f t="shared" ref="A3:A66" si="0">+C3&amp;H3&amp;L3</f>
        <v>9990002285SAMSUNG ELETRONICA DA AMAZONIA LTDA-0,01</v>
      </c>
      <c r="B3" t="s">
        <v>1949</v>
      </c>
      <c r="C3">
        <v>9990002285</v>
      </c>
      <c r="D3" s="2">
        <v>44722</v>
      </c>
      <c r="E3" t="s">
        <v>11</v>
      </c>
      <c r="F3" t="s">
        <v>12</v>
      </c>
      <c r="G3" t="s">
        <v>13</v>
      </c>
      <c r="H3" t="s">
        <v>14</v>
      </c>
      <c r="J3" s="3" t="s">
        <v>4</v>
      </c>
      <c r="K3" s="2">
        <v>44722</v>
      </c>
      <c r="L3" s="4">
        <v>-0.01</v>
      </c>
      <c r="M3" t="s">
        <v>5</v>
      </c>
      <c r="N3" s="4">
        <v>-0.01</v>
      </c>
      <c r="O3" t="s">
        <v>15</v>
      </c>
      <c r="P3" s="4">
        <v>0.01</v>
      </c>
      <c r="Q3" s="5">
        <v>20</v>
      </c>
      <c r="R3" t="s">
        <v>16</v>
      </c>
      <c r="S3" t="s">
        <v>17</v>
      </c>
      <c r="T3" t="s">
        <v>18</v>
      </c>
      <c r="U3" t="s">
        <v>19</v>
      </c>
      <c r="V3" s="2">
        <v>44743</v>
      </c>
      <c r="W3" t="s">
        <v>10</v>
      </c>
    </row>
    <row r="4" spans="1:23" ht="14.1" customHeight="1" outlineLevel="2" x14ac:dyDescent="0.25">
      <c r="A4" t="str">
        <f t="shared" si="0"/>
        <v>9990002421BUD COMERCIO DE ELETRODOMESTICOS-6296</v>
      </c>
      <c r="B4" t="s">
        <v>1950</v>
      </c>
      <c r="C4">
        <v>9990002421</v>
      </c>
      <c r="D4" s="2">
        <v>44530</v>
      </c>
      <c r="E4" t="s">
        <v>20</v>
      </c>
      <c r="F4" t="s">
        <v>12</v>
      </c>
      <c r="G4" t="s">
        <v>21</v>
      </c>
      <c r="H4" t="s">
        <v>22</v>
      </c>
      <c r="J4" s="3" t="s">
        <v>4</v>
      </c>
      <c r="K4" s="2">
        <v>44530</v>
      </c>
      <c r="L4" s="4">
        <v>-6296</v>
      </c>
      <c r="M4" t="s">
        <v>5</v>
      </c>
      <c r="N4" s="4">
        <v>-6296</v>
      </c>
      <c r="O4" t="s">
        <v>23</v>
      </c>
      <c r="P4" s="4">
        <v>5713.62</v>
      </c>
      <c r="Q4" s="5">
        <v>212</v>
      </c>
      <c r="R4" t="s">
        <v>24</v>
      </c>
      <c r="S4" t="s">
        <v>25</v>
      </c>
      <c r="T4" t="s">
        <v>26</v>
      </c>
      <c r="U4" t="s">
        <v>27</v>
      </c>
      <c r="V4" s="2">
        <v>44743</v>
      </c>
      <c r="W4" t="s">
        <v>10</v>
      </c>
    </row>
    <row r="5" spans="1:23" ht="14.1" customHeight="1" outlineLevel="2" x14ac:dyDescent="0.25">
      <c r="A5" t="str">
        <f t="shared" si="0"/>
        <v>9990003636LG ELETRONICS DO BRASIL LTDA64010,08</v>
      </c>
      <c r="B5" t="s">
        <v>1951</v>
      </c>
      <c r="C5">
        <v>9990003636</v>
      </c>
      <c r="D5" s="2">
        <v>44581</v>
      </c>
      <c r="E5" t="s">
        <v>0</v>
      </c>
      <c r="F5" t="s">
        <v>1</v>
      </c>
      <c r="G5" t="s">
        <v>28</v>
      </c>
      <c r="H5" t="s">
        <v>29</v>
      </c>
      <c r="J5" s="3" t="s">
        <v>4</v>
      </c>
      <c r="K5" s="2">
        <v>44611</v>
      </c>
      <c r="L5" s="4">
        <v>64010.080000000002</v>
      </c>
      <c r="M5" t="s">
        <v>5</v>
      </c>
      <c r="N5" s="4">
        <v>64010.080000000002</v>
      </c>
      <c r="O5" t="s">
        <v>30</v>
      </c>
      <c r="P5" s="4">
        <v>58089.14</v>
      </c>
      <c r="Q5" s="5">
        <v>131</v>
      </c>
      <c r="R5" t="s">
        <v>31</v>
      </c>
      <c r="S5" t="s">
        <v>32</v>
      </c>
      <c r="T5" t="s">
        <v>4</v>
      </c>
      <c r="U5" t="s">
        <v>33</v>
      </c>
      <c r="V5" s="2">
        <v>44743</v>
      </c>
      <c r="W5" t="s">
        <v>10</v>
      </c>
    </row>
    <row r="6" spans="1:23" ht="14.1" customHeight="1" outlineLevel="2" x14ac:dyDescent="0.25">
      <c r="A6" t="str">
        <f t="shared" si="0"/>
        <v>9990003636LG ELETRONICS DO BRASIL LTDA75000</v>
      </c>
      <c r="B6" t="s">
        <v>1952</v>
      </c>
      <c r="C6">
        <v>9990003636</v>
      </c>
      <c r="D6" s="2">
        <v>44530</v>
      </c>
      <c r="E6" t="s">
        <v>0</v>
      </c>
      <c r="F6" t="s">
        <v>1</v>
      </c>
      <c r="G6" t="s">
        <v>34</v>
      </c>
      <c r="H6" t="s">
        <v>29</v>
      </c>
      <c r="J6" s="3" t="s">
        <v>4</v>
      </c>
      <c r="K6" s="2">
        <v>44560</v>
      </c>
      <c r="L6" s="4">
        <v>75000</v>
      </c>
      <c r="M6" t="s">
        <v>5</v>
      </c>
      <c r="N6" s="4">
        <v>75000</v>
      </c>
      <c r="O6" t="s">
        <v>35</v>
      </c>
      <c r="P6" s="4">
        <v>68062.5</v>
      </c>
      <c r="Q6" s="5">
        <v>182</v>
      </c>
      <c r="R6" t="s">
        <v>36</v>
      </c>
      <c r="S6" t="s">
        <v>37</v>
      </c>
      <c r="T6" t="s">
        <v>38</v>
      </c>
      <c r="U6" t="s">
        <v>39</v>
      </c>
      <c r="V6" s="2">
        <v>44743</v>
      </c>
      <c r="W6" t="s">
        <v>10</v>
      </c>
    </row>
    <row r="7" spans="1:23" ht="14.1" customHeight="1" outlineLevel="2" x14ac:dyDescent="0.25">
      <c r="A7" t="str">
        <f t="shared" si="0"/>
        <v>9990003933Multilaser Industrial SA-93662</v>
      </c>
      <c r="B7" t="s">
        <v>1953</v>
      </c>
      <c r="C7">
        <v>9990003933</v>
      </c>
      <c r="D7" s="2">
        <v>44722</v>
      </c>
      <c r="E7" t="s">
        <v>40</v>
      </c>
      <c r="F7" t="s">
        <v>12</v>
      </c>
      <c r="G7" t="s">
        <v>41</v>
      </c>
      <c r="H7" t="s">
        <v>42</v>
      </c>
      <c r="J7" s="3" t="s">
        <v>4</v>
      </c>
      <c r="K7" s="2">
        <v>44722</v>
      </c>
      <c r="L7" s="4">
        <v>-93662</v>
      </c>
      <c r="M7" t="s">
        <v>5</v>
      </c>
      <c r="N7" s="4">
        <v>-93662</v>
      </c>
      <c r="O7" t="s">
        <v>43</v>
      </c>
      <c r="P7" s="4">
        <v>84998.27</v>
      </c>
      <c r="Q7" s="5">
        <v>20</v>
      </c>
      <c r="R7" t="s">
        <v>44</v>
      </c>
      <c r="S7" t="s">
        <v>45</v>
      </c>
      <c r="T7" t="s">
        <v>26</v>
      </c>
      <c r="U7" t="s">
        <v>46</v>
      </c>
      <c r="V7" s="2">
        <v>44743</v>
      </c>
      <c r="W7" t="s">
        <v>10</v>
      </c>
    </row>
    <row r="8" spans="1:23" ht="14.1" customHeight="1" outlineLevel="2" x14ac:dyDescent="0.25">
      <c r="A8" t="str">
        <f t="shared" si="0"/>
        <v>9990003933Multilaser Industrial SA94500</v>
      </c>
      <c r="B8" t="s">
        <v>1954</v>
      </c>
      <c r="C8">
        <v>9990003933</v>
      </c>
      <c r="D8" s="2">
        <v>44530</v>
      </c>
      <c r="E8" t="s">
        <v>0</v>
      </c>
      <c r="F8" t="s">
        <v>1</v>
      </c>
      <c r="G8" t="s">
        <v>47</v>
      </c>
      <c r="H8" t="s">
        <v>42</v>
      </c>
      <c r="J8" s="3" t="s">
        <v>4</v>
      </c>
      <c r="K8" s="2">
        <v>44560</v>
      </c>
      <c r="L8" s="4">
        <v>94500</v>
      </c>
      <c r="M8" t="s">
        <v>5</v>
      </c>
      <c r="N8" s="4">
        <v>94500</v>
      </c>
      <c r="O8" t="s">
        <v>48</v>
      </c>
      <c r="P8" s="4">
        <v>85758.75</v>
      </c>
      <c r="Q8" s="5">
        <v>182</v>
      </c>
      <c r="R8" t="s">
        <v>49</v>
      </c>
      <c r="S8" t="s">
        <v>50</v>
      </c>
      <c r="T8" t="s">
        <v>26</v>
      </c>
      <c r="U8" t="s">
        <v>51</v>
      </c>
      <c r="V8" s="2">
        <v>44743</v>
      </c>
      <c r="W8" t="s">
        <v>10</v>
      </c>
    </row>
    <row r="9" spans="1:23" ht="14.1" customHeight="1" outlineLevel="2" x14ac:dyDescent="0.25">
      <c r="A9" t="str">
        <f t="shared" si="0"/>
        <v>9990004078Lenovo Comercial e Distribuição Lim40000</v>
      </c>
      <c r="B9" t="s">
        <v>1955</v>
      </c>
      <c r="C9">
        <v>9990004078</v>
      </c>
      <c r="D9" s="2">
        <v>44630</v>
      </c>
      <c r="E9" t="s">
        <v>0</v>
      </c>
      <c r="F9" t="s">
        <v>1</v>
      </c>
      <c r="G9" t="s">
        <v>52</v>
      </c>
      <c r="H9" t="s">
        <v>53</v>
      </c>
      <c r="J9" s="3" t="s">
        <v>4</v>
      </c>
      <c r="K9" s="2">
        <v>44660</v>
      </c>
      <c r="L9" s="4">
        <v>40000</v>
      </c>
      <c r="M9" t="s">
        <v>5</v>
      </c>
      <c r="N9" s="4">
        <v>40000</v>
      </c>
      <c r="O9" t="s">
        <v>54</v>
      </c>
      <c r="P9" s="4">
        <v>36300</v>
      </c>
      <c r="Q9" s="5">
        <v>82</v>
      </c>
      <c r="R9" t="s">
        <v>55</v>
      </c>
      <c r="S9" t="s">
        <v>56</v>
      </c>
      <c r="T9" t="s">
        <v>4</v>
      </c>
      <c r="U9" t="s">
        <v>57</v>
      </c>
      <c r="V9" s="2">
        <v>44743</v>
      </c>
      <c r="W9" t="s">
        <v>10</v>
      </c>
    </row>
    <row r="10" spans="1:23" ht="14.1" customHeight="1" outlineLevel="2" x14ac:dyDescent="0.25">
      <c r="A10" t="str">
        <f t="shared" si="0"/>
        <v>9990004078Lenovo Comercial e Distribuição Lim60439,88</v>
      </c>
      <c r="B10" t="s">
        <v>1956</v>
      </c>
      <c r="C10">
        <v>9990004078</v>
      </c>
      <c r="D10" s="2">
        <v>44663</v>
      </c>
      <c r="E10" t="s">
        <v>0</v>
      </c>
      <c r="F10" t="s">
        <v>1</v>
      </c>
      <c r="G10" t="s">
        <v>58</v>
      </c>
      <c r="H10" t="s">
        <v>53</v>
      </c>
      <c r="J10" s="3" t="s">
        <v>4</v>
      </c>
      <c r="K10" s="2">
        <v>44693</v>
      </c>
      <c r="L10" s="4">
        <v>60439.88</v>
      </c>
      <c r="M10" t="s">
        <v>5</v>
      </c>
      <c r="N10" s="4">
        <v>60439.88</v>
      </c>
      <c r="O10" t="s">
        <v>59</v>
      </c>
      <c r="P10" s="4">
        <v>54849.19</v>
      </c>
      <c r="Q10" s="5">
        <v>49</v>
      </c>
      <c r="R10" t="s">
        <v>60</v>
      </c>
      <c r="S10" t="s">
        <v>61</v>
      </c>
      <c r="T10" t="s">
        <v>26</v>
      </c>
      <c r="U10" t="s">
        <v>62</v>
      </c>
      <c r="V10" s="2">
        <v>44743</v>
      </c>
      <c r="W10" t="s">
        <v>10</v>
      </c>
    </row>
    <row r="11" spans="1:23" ht="14.1" customHeight="1" outlineLevel="2" x14ac:dyDescent="0.25">
      <c r="A11" t="str">
        <f t="shared" si="0"/>
        <v>9990004265JOHNSON &amp; JOHNSON DO BRASIL INDUSTR55712,37</v>
      </c>
      <c r="B11" t="s">
        <v>1957</v>
      </c>
      <c r="C11">
        <v>9990004265</v>
      </c>
      <c r="D11" s="2">
        <v>44630</v>
      </c>
      <c r="E11" t="s">
        <v>0</v>
      </c>
      <c r="F11" t="s">
        <v>1</v>
      </c>
      <c r="G11" t="s">
        <v>63</v>
      </c>
      <c r="H11" t="s">
        <v>64</v>
      </c>
      <c r="J11" s="3" t="s">
        <v>4</v>
      </c>
      <c r="K11" s="2">
        <v>44660</v>
      </c>
      <c r="L11" s="4">
        <v>55712.37</v>
      </c>
      <c r="M11" t="s">
        <v>5</v>
      </c>
      <c r="N11" s="4">
        <v>55712.37</v>
      </c>
      <c r="O11" t="s">
        <v>65</v>
      </c>
      <c r="P11" s="4">
        <v>50558.97</v>
      </c>
      <c r="Q11" s="5">
        <v>82</v>
      </c>
      <c r="R11" t="s">
        <v>66</v>
      </c>
      <c r="S11" t="s">
        <v>67</v>
      </c>
      <c r="T11" t="s">
        <v>4</v>
      </c>
      <c r="U11" t="s">
        <v>68</v>
      </c>
      <c r="V11" s="2">
        <v>44743</v>
      </c>
      <c r="W11" t="s">
        <v>10</v>
      </c>
    </row>
    <row r="12" spans="1:23" ht="14.1" customHeight="1" outlineLevel="2" x14ac:dyDescent="0.25">
      <c r="A12" t="str">
        <f t="shared" si="0"/>
        <v>9990004265JOHNSON &amp; JOHNSON DO BRASIL INDUSTR51472,62</v>
      </c>
      <c r="B12" t="s">
        <v>1958</v>
      </c>
      <c r="C12">
        <v>9990004265</v>
      </c>
      <c r="D12" s="2">
        <v>44663</v>
      </c>
      <c r="E12" t="s">
        <v>0</v>
      </c>
      <c r="F12" t="s">
        <v>1</v>
      </c>
      <c r="G12" t="s">
        <v>69</v>
      </c>
      <c r="H12" t="s">
        <v>64</v>
      </c>
      <c r="J12" s="3" t="s">
        <v>4</v>
      </c>
      <c r="K12" s="2">
        <v>44693</v>
      </c>
      <c r="L12" s="4">
        <v>51472.62</v>
      </c>
      <c r="M12" t="s">
        <v>5</v>
      </c>
      <c r="N12" s="4">
        <v>51472.62</v>
      </c>
      <c r="O12" t="s">
        <v>70</v>
      </c>
      <c r="P12" s="4">
        <v>46711.4</v>
      </c>
      <c r="Q12" s="5">
        <v>49</v>
      </c>
      <c r="R12" t="s">
        <v>71</v>
      </c>
      <c r="S12" t="s">
        <v>72</v>
      </c>
      <c r="T12" t="s">
        <v>73</v>
      </c>
      <c r="U12" t="s">
        <v>74</v>
      </c>
      <c r="V12" s="2">
        <v>44743</v>
      </c>
      <c r="W12" t="s">
        <v>10</v>
      </c>
    </row>
    <row r="13" spans="1:23" ht="14.1" customHeight="1" outlineLevel="2" x14ac:dyDescent="0.25">
      <c r="A13" t="str">
        <f t="shared" si="0"/>
        <v>9990004265JOHNSON &amp; JOHNSON DO BRASIL INDUSTR-3200</v>
      </c>
      <c r="B13" t="s">
        <v>1959</v>
      </c>
      <c r="C13">
        <v>9990004265</v>
      </c>
      <c r="D13" s="2">
        <v>44663</v>
      </c>
      <c r="E13" t="s">
        <v>75</v>
      </c>
      <c r="F13" t="s">
        <v>12</v>
      </c>
      <c r="G13" t="s">
        <v>76</v>
      </c>
      <c r="H13" t="s">
        <v>64</v>
      </c>
      <c r="J13" s="3" t="s">
        <v>4</v>
      </c>
      <c r="K13" s="2">
        <v>44663</v>
      </c>
      <c r="L13" s="4">
        <v>-3200</v>
      </c>
      <c r="M13" t="s">
        <v>5</v>
      </c>
      <c r="N13" s="4">
        <v>-3200</v>
      </c>
      <c r="O13" t="s">
        <v>77</v>
      </c>
      <c r="P13" s="4">
        <v>2904</v>
      </c>
      <c r="Q13" s="5">
        <v>79</v>
      </c>
      <c r="R13" t="s">
        <v>78</v>
      </c>
      <c r="S13" t="s">
        <v>79</v>
      </c>
      <c r="T13" t="s">
        <v>80</v>
      </c>
      <c r="U13" t="s">
        <v>81</v>
      </c>
      <c r="V13" s="2">
        <v>44743</v>
      </c>
      <c r="W13" t="s">
        <v>10</v>
      </c>
    </row>
    <row r="14" spans="1:23" ht="14.1" customHeight="1" outlineLevel="2" x14ac:dyDescent="0.25">
      <c r="A14" t="str">
        <f t="shared" si="0"/>
        <v>9990004535RECKITT BENCKISER (BRASIL) COMERCIA19966,99</v>
      </c>
      <c r="B14" t="s">
        <v>1960</v>
      </c>
      <c r="C14">
        <v>9990004535</v>
      </c>
      <c r="D14" s="2">
        <v>44663</v>
      </c>
      <c r="E14" t="s">
        <v>0</v>
      </c>
      <c r="F14" t="s">
        <v>1</v>
      </c>
      <c r="G14" t="s">
        <v>82</v>
      </c>
      <c r="H14" t="s">
        <v>83</v>
      </c>
      <c r="J14" s="3" t="s">
        <v>4</v>
      </c>
      <c r="K14" s="2">
        <v>44693</v>
      </c>
      <c r="L14" s="4">
        <v>19966.990000000002</v>
      </c>
      <c r="M14" t="s">
        <v>5</v>
      </c>
      <c r="N14" s="4">
        <v>19966.990000000002</v>
      </c>
      <c r="O14" t="s">
        <v>84</v>
      </c>
      <c r="P14" s="4">
        <v>18120.04</v>
      </c>
      <c r="Q14" s="5">
        <v>49</v>
      </c>
      <c r="R14" t="s">
        <v>85</v>
      </c>
      <c r="S14" t="s">
        <v>86</v>
      </c>
      <c r="T14" t="s">
        <v>87</v>
      </c>
      <c r="U14" t="s">
        <v>88</v>
      </c>
      <c r="V14" s="2">
        <v>44743</v>
      </c>
      <c r="W14" t="s">
        <v>10</v>
      </c>
    </row>
    <row r="15" spans="1:23" ht="14.1" customHeight="1" outlineLevel="2" x14ac:dyDescent="0.25">
      <c r="A15" t="str">
        <f t="shared" si="0"/>
        <v>9990004535RECKITT BENCKISER (BRASIL) COMERCIA-2414,91</v>
      </c>
      <c r="B15" t="s">
        <v>1961</v>
      </c>
      <c r="C15">
        <v>9990004535</v>
      </c>
      <c r="D15" s="2">
        <v>44389</v>
      </c>
      <c r="E15" t="s">
        <v>89</v>
      </c>
      <c r="F15" t="s">
        <v>12</v>
      </c>
      <c r="G15" t="s">
        <v>90</v>
      </c>
      <c r="H15" t="s">
        <v>83</v>
      </c>
      <c r="J15" s="3" t="s">
        <v>4</v>
      </c>
      <c r="K15" s="2">
        <v>44389</v>
      </c>
      <c r="L15" s="4">
        <v>-2414.91</v>
      </c>
      <c r="M15" t="s">
        <v>5</v>
      </c>
      <c r="N15" s="4">
        <v>-2414.91</v>
      </c>
      <c r="O15" t="s">
        <v>91</v>
      </c>
      <c r="P15" s="4">
        <v>2191.5300000000002</v>
      </c>
      <c r="Q15" s="5">
        <v>353</v>
      </c>
      <c r="R15" t="s">
        <v>92</v>
      </c>
      <c r="S15" t="s">
        <v>93</v>
      </c>
      <c r="T15" t="s">
        <v>94</v>
      </c>
      <c r="U15" t="s">
        <v>95</v>
      </c>
      <c r="V15" s="2">
        <v>44743</v>
      </c>
      <c r="W15" t="s">
        <v>10</v>
      </c>
    </row>
    <row r="16" spans="1:23" ht="14.1" customHeight="1" outlineLevel="2" x14ac:dyDescent="0.25">
      <c r="A16" t="str">
        <f t="shared" si="0"/>
        <v>9990004535RECKITT BENCKISER (BRASIL) COMERCIA90</v>
      </c>
      <c r="B16" t="s">
        <v>1962</v>
      </c>
      <c r="C16">
        <v>9990004535</v>
      </c>
      <c r="D16" s="2">
        <v>44482</v>
      </c>
      <c r="E16" t="s">
        <v>0</v>
      </c>
      <c r="F16" t="s">
        <v>1</v>
      </c>
      <c r="G16" t="s">
        <v>96</v>
      </c>
      <c r="H16" t="s">
        <v>83</v>
      </c>
      <c r="J16" s="3" t="s">
        <v>4</v>
      </c>
      <c r="K16" s="2">
        <v>44542</v>
      </c>
      <c r="L16" s="4">
        <v>90</v>
      </c>
      <c r="M16" t="s">
        <v>5</v>
      </c>
      <c r="N16" s="4">
        <v>90</v>
      </c>
      <c r="O16" t="s">
        <v>97</v>
      </c>
      <c r="P16" s="4">
        <v>81.67</v>
      </c>
      <c r="Q16" s="5">
        <v>200</v>
      </c>
      <c r="R16" t="s">
        <v>98</v>
      </c>
      <c r="S16" t="s">
        <v>99</v>
      </c>
      <c r="T16" t="s">
        <v>100</v>
      </c>
      <c r="U16" t="s">
        <v>101</v>
      </c>
      <c r="V16" s="2">
        <v>44743</v>
      </c>
      <c r="W16" t="s">
        <v>10</v>
      </c>
    </row>
    <row r="17" spans="1:23" ht="14.1" customHeight="1" outlineLevel="2" x14ac:dyDescent="0.25">
      <c r="A17" t="str">
        <f t="shared" si="0"/>
        <v>9990004535RECKITT BENCKISER (BRASIL) COMERCIA7835,03</v>
      </c>
      <c r="B17" t="s">
        <v>1963</v>
      </c>
      <c r="C17">
        <v>9990004535</v>
      </c>
      <c r="D17" s="2">
        <v>44692</v>
      </c>
      <c r="E17" t="s">
        <v>0</v>
      </c>
      <c r="F17" t="s">
        <v>1</v>
      </c>
      <c r="G17" t="s">
        <v>102</v>
      </c>
      <c r="H17" t="s">
        <v>83</v>
      </c>
      <c r="J17" s="3" t="s">
        <v>4</v>
      </c>
      <c r="K17" s="2">
        <v>44722</v>
      </c>
      <c r="L17" s="4">
        <v>7835.03</v>
      </c>
      <c r="M17" t="s">
        <v>5</v>
      </c>
      <c r="N17" s="4">
        <v>7835.03</v>
      </c>
      <c r="O17" t="s">
        <v>103</v>
      </c>
      <c r="P17" s="4">
        <v>7110.29</v>
      </c>
      <c r="Q17" s="5">
        <v>20</v>
      </c>
      <c r="R17" t="s">
        <v>104</v>
      </c>
      <c r="S17" t="s">
        <v>105</v>
      </c>
      <c r="T17" t="s">
        <v>106</v>
      </c>
      <c r="U17" t="s">
        <v>107</v>
      </c>
      <c r="V17" s="2">
        <v>44743</v>
      </c>
      <c r="W17" t="s">
        <v>10</v>
      </c>
    </row>
    <row r="18" spans="1:23" ht="14.1" customHeight="1" outlineLevel="2" x14ac:dyDescent="0.25">
      <c r="A18" t="str">
        <f t="shared" si="0"/>
        <v>9990004591Seagate Technology LLC13102,96</v>
      </c>
      <c r="B18" t="s">
        <v>1964</v>
      </c>
      <c r="C18">
        <v>9990004591</v>
      </c>
      <c r="D18" s="2">
        <v>44663</v>
      </c>
      <c r="E18" t="s">
        <v>0</v>
      </c>
      <c r="F18" t="s">
        <v>1</v>
      </c>
      <c r="G18" t="s">
        <v>108</v>
      </c>
      <c r="H18" t="s">
        <v>109</v>
      </c>
      <c r="J18" s="3" t="s">
        <v>4</v>
      </c>
      <c r="K18" s="2">
        <v>44723</v>
      </c>
      <c r="L18" s="4">
        <v>13102.96</v>
      </c>
      <c r="M18" t="s">
        <v>5</v>
      </c>
      <c r="N18" s="4">
        <v>13102.96</v>
      </c>
      <c r="O18" t="s">
        <v>110</v>
      </c>
      <c r="P18" s="4">
        <v>11890.94</v>
      </c>
      <c r="Q18" s="5">
        <v>19</v>
      </c>
      <c r="R18" t="s">
        <v>111</v>
      </c>
      <c r="S18" t="s">
        <v>112</v>
      </c>
      <c r="T18" t="s">
        <v>4</v>
      </c>
      <c r="U18" t="s">
        <v>113</v>
      </c>
      <c r="V18" s="2">
        <v>44743</v>
      </c>
      <c r="W18" t="s">
        <v>10</v>
      </c>
    </row>
    <row r="19" spans="1:23" ht="14.1" customHeight="1" outlineLevel="2" x14ac:dyDescent="0.25">
      <c r="A19" t="str">
        <f t="shared" si="0"/>
        <v>9990004591Seagate Technology LLC9186,13</v>
      </c>
      <c r="B19" t="s">
        <v>1965</v>
      </c>
      <c r="C19">
        <v>9990004591</v>
      </c>
      <c r="D19" s="2">
        <v>44630</v>
      </c>
      <c r="E19" t="s">
        <v>0</v>
      </c>
      <c r="F19" t="s">
        <v>1</v>
      </c>
      <c r="G19" t="s">
        <v>114</v>
      </c>
      <c r="H19" t="s">
        <v>109</v>
      </c>
      <c r="J19" s="3" t="s">
        <v>4</v>
      </c>
      <c r="K19" s="2">
        <v>44690</v>
      </c>
      <c r="L19" s="4">
        <v>9186.1299999999992</v>
      </c>
      <c r="M19" t="s">
        <v>5</v>
      </c>
      <c r="N19" s="4">
        <v>9186.1299999999992</v>
      </c>
      <c r="O19" t="s">
        <v>115</v>
      </c>
      <c r="P19" s="4">
        <v>8336.41</v>
      </c>
      <c r="Q19" s="5">
        <v>52</v>
      </c>
      <c r="R19" t="s">
        <v>116</v>
      </c>
      <c r="S19" t="s">
        <v>117</v>
      </c>
      <c r="T19" t="s">
        <v>4</v>
      </c>
      <c r="U19" t="s">
        <v>118</v>
      </c>
      <c r="V19" s="2">
        <v>44743</v>
      </c>
      <c r="W19" t="s">
        <v>10</v>
      </c>
    </row>
    <row r="20" spans="1:23" ht="14.1" customHeight="1" outlineLevel="2" x14ac:dyDescent="0.25">
      <c r="A20" t="str">
        <f t="shared" si="0"/>
        <v>9990004591Seagate Technology LLC9605</v>
      </c>
      <c r="B20" t="s">
        <v>1966</v>
      </c>
      <c r="C20">
        <v>9990004591</v>
      </c>
      <c r="D20" s="2">
        <v>44630</v>
      </c>
      <c r="E20" t="s">
        <v>0</v>
      </c>
      <c r="F20" t="s">
        <v>1</v>
      </c>
      <c r="G20" t="s">
        <v>119</v>
      </c>
      <c r="H20" t="s">
        <v>109</v>
      </c>
      <c r="J20" s="3" t="s">
        <v>4</v>
      </c>
      <c r="K20" s="2">
        <v>44690</v>
      </c>
      <c r="L20" s="4">
        <v>9605</v>
      </c>
      <c r="M20" t="s">
        <v>5</v>
      </c>
      <c r="N20" s="4">
        <v>9605</v>
      </c>
      <c r="O20" t="s">
        <v>120</v>
      </c>
      <c r="P20" s="4">
        <v>8716.5400000000009</v>
      </c>
      <c r="Q20" s="5">
        <v>52</v>
      </c>
      <c r="R20" t="s">
        <v>121</v>
      </c>
      <c r="S20" t="s">
        <v>122</v>
      </c>
      <c r="T20" t="s">
        <v>4</v>
      </c>
      <c r="U20" t="s">
        <v>123</v>
      </c>
      <c r="V20" s="2">
        <v>44743</v>
      </c>
      <c r="W20" t="s">
        <v>10</v>
      </c>
    </row>
    <row r="21" spans="1:23" ht="14.1" customHeight="1" outlineLevel="2" x14ac:dyDescent="0.25">
      <c r="A21" t="str">
        <f t="shared" si="0"/>
        <v>9990004591Seagate Technology LLC7062,8</v>
      </c>
      <c r="B21" t="s">
        <v>1967</v>
      </c>
      <c r="C21">
        <v>9990004591</v>
      </c>
      <c r="D21" s="2">
        <v>44630</v>
      </c>
      <c r="E21" t="s">
        <v>0</v>
      </c>
      <c r="F21" t="s">
        <v>1</v>
      </c>
      <c r="G21" t="s">
        <v>124</v>
      </c>
      <c r="H21" t="s">
        <v>109</v>
      </c>
      <c r="J21" s="3" t="s">
        <v>4</v>
      </c>
      <c r="K21" s="2">
        <v>44690</v>
      </c>
      <c r="L21" s="4">
        <v>7062.8</v>
      </c>
      <c r="M21" t="s">
        <v>5</v>
      </c>
      <c r="N21" s="4">
        <v>7062.8</v>
      </c>
      <c r="O21" t="s">
        <v>125</v>
      </c>
      <c r="P21" s="4">
        <v>6409.49</v>
      </c>
      <c r="Q21" s="5">
        <v>52</v>
      </c>
      <c r="R21" t="s">
        <v>126</v>
      </c>
      <c r="S21" t="s">
        <v>127</v>
      </c>
      <c r="T21" t="s">
        <v>4</v>
      </c>
      <c r="U21" t="s">
        <v>128</v>
      </c>
      <c r="V21" s="2">
        <v>44743</v>
      </c>
      <c r="W21" t="s">
        <v>10</v>
      </c>
    </row>
    <row r="22" spans="1:23" ht="14.1" customHeight="1" outlineLevel="2" x14ac:dyDescent="0.25">
      <c r="A22" t="str">
        <f t="shared" si="0"/>
        <v>9990004591Seagate Technology LLC7539,58</v>
      </c>
      <c r="B22" t="s">
        <v>1968</v>
      </c>
      <c r="C22">
        <v>9990004591</v>
      </c>
      <c r="D22" s="2">
        <v>44663</v>
      </c>
      <c r="E22" t="s">
        <v>0</v>
      </c>
      <c r="F22" t="s">
        <v>1</v>
      </c>
      <c r="G22" t="s">
        <v>129</v>
      </c>
      <c r="H22" t="s">
        <v>109</v>
      </c>
      <c r="J22" s="3" t="s">
        <v>4</v>
      </c>
      <c r="K22" s="2">
        <v>44723</v>
      </c>
      <c r="L22" s="4">
        <v>7539.58</v>
      </c>
      <c r="M22" t="s">
        <v>5</v>
      </c>
      <c r="N22" s="4">
        <v>7539.58</v>
      </c>
      <c r="O22" t="s">
        <v>130</v>
      </c>
      <c r="P22" s="4">
        <v>6842.18</v>
      </c>
      <c r="Q22" s="5">
        <v>19</v>
      </c>
      <c r="R22" t="s">
        <v>131</v>
      </c>
      <c r="S22" t="s">
        <v>132</v>
      </c>
      <c r="T22" t="s">
        <v>4</v>
      </c>
      <c r="U22" t="s">
        <v>133</v>
      </c>
      <c r="V22" s="2">
        <v>44743</v>
      </c>
      <c r="W22" t="s">
        <v>10</v>
      </c>
    </row>
    <row r="23" spans="1:23" ht="14.1" customHeight="1" outlineLevel="2" x14ac:dyDescent="0.25">
      <c r="A23" t="str">
        <f t="shared" si="0"/>
        <v>9990004591Seagate Technology LLC-4114,65</v>
      </c>
      <c r="B23" t="s">
        <v>1969</v>
      </c>
      <c r="C23">
        <v>9990004591</v>
      </c>
      <c r="D23" s="2">
        <v>44638</v>
      </c>
      <c r="E23" t="s">
        <v>4</v>
      </c>
      <c r="F23" t="s">
        <v>134</v>
      </c>
      <c r="G23" t="s">
        <v>135</v>
      </c>
      <c r="H23" t="s">
        <v>109</v>
      </c>
      <c r="J23" s="3" t="s">
        <v>4</v>
      </c>
      <c r="K23" s="2">
        <v>44624</v>
      </c>
      <c r="L23" s="4">
        <v>-4114.6499999999996</v>
      </c>
      <c r="M23" t="s">
        <v>136</v>
      </c>
      <c r="N23" s="4">
        <v>-20887.61</v>
      </c>
      <c r="O23" t="s">
        <v>4</v>
      </c>
      <c r="P23" s="4">
        <v>0</v>
      </c>
      <c r="Q23" s="5">
        <v>118</v>
      </c>
      <c r="R23" t="s">
        <v>4</v>
      </c>
      <c r="S23" t="s">
        <v>4</v>
      </c>
      <c r="T23" t="s">
        <v>137</v>
      </c>
      <c r="U23" t="s">
        <v>138</v>
      </c>
      <c r="V23" s="2">
        <v>44743</v>
      </c>
      <c r="W23" t="s">
        <v>10</v>
      </c>
    </row>
    <row r="24" spans="1:23" ht="14.1" customHeight="1" outlineLevel="2" x14ac:dyDescent="0.25">
      <c r="A24" t="str">
        <f t="shared" si="0"/>
        <v>9990004591Seagate Technology LLC7131,51</v>
      </c>
      <c r="B24" t="s">
        <v>1970</v>
      </c>
      <c r="C24">
        <v>9990004591</v>
      </c>
      <c r="D24" s="2">
        <v>44630</v>
      </c>
      <c r="E24" t="s">
        <v>0</v>
      </c>
      <c r="F24" t="s">
        <v>1</v>
      </c>
      <c r="G24" t="s">
        <v>139</v>
      </c>
      <c r="H24" t="s">
        <v>109</v>
      </c>
      <c r="J24" s="3" t="s">
        <v>4</v>
      </c>
      <c r="K24" s="2">
        <v>44690</v>
      </c>
      <c r="L24" s="4">
        <v>7131.51</v>
      </c>
      <c r="M24" t="s">
        <v>5</v>
      </c>
      <c r="N24" s="4">
        <v>7131.51</v>
      </c>
      <c r="O24" t="s">
        <v>140</v>
      </c>
      <c r="P24" s="4">
        <v>6471.85</v>
      </c>
      <c r="Q24" s="5">
        <v>52</v>
      </c>
      <c r="R24" t="s">
        <v>141</v>
      </c>
      <c r="S24" t="s">
        <v>142</v>
      </c>
      <c r="T24" t="s">
        <v>4</v>
      </c>
      <c r="U24" t="s">
        <v>143</v>
      </c>
      <c r="V24" s="2">
        <v>44743</v>
      </c>
      <c r="W24" t="s">
        <v>10</v>
      </c>
    </row>
    <row r="25" spans="1:23" ht="14.1" customHeight="1" outlineLevel="2" x14ac:dyDescent="0.25">
      <c r="A25" t="str">
        <f t="shared" si="0"/>
        <v>9990004591Seagate Technology LLC5539,03</v>
      </c>
      <c r="B25" t="s">
        <v>1971</v>
      </c>
      <c r="C25">
        <v>9990004591</v>
      </c>
      <c r="D25" s="2">
        <v>44663</v>
      </c>
      <c r="E25" t="s">
        <v>0</v>
      </c>
      <c r="F25" t="s">
        <v>1</v>
      </c>
      <c r="G25" t="s">
        <v>144</v>
      </c>
      <c r="H25" t="s">
        <v>109</v>
      </c>
      <c r="J25" s="3" t="s">
        <v>4</v>
      </c>
      <c r="K25" s="2">
        <v>44723</v>
      </c>
      <c r="L25" s="4">
        <v>5539.03</v>
      </c>
      <c r="M25" t="s">
        <v>5</v>
      </c>
      <c r="N25" s="4">
        <v>5539.03</v>
      </c>
      <c r="O25" t="s">
        <v>145</v>
      </c>
      <c r="P25" s="4">
        <v>5026.66</v>
      </c>
      <c r="Q25" s="5">
        <v>19</v>
      </c>
      <c r="R25" t="s">
        <v>146</v>
      </c>
      <c r="S25" t="s">
        <v>147</v>
      </c>
      <c r="T25" t="s">
        <v>4</v>
      </c>
      <c r="U25" t="s">
        <v>148</v>
      </c>
      <c r="V25" s="2">
        <v>44743</v>
      </c>
      <c r="W25" t="s">
        <v>10</v>
      </c>
    </row>
    <row r="26" spans="1:23" ht="14.1" customHeight="1" outlineLevel="2" x14ac:dyDescent="0.25">
      <c r="A26" t="str">
        <f t="shared" si="0"/>
        <v>9990004591Seagate Technology LLC4373,59</v>
      </c>
      <c r="B26" t="s">
        <v>1972</v>
      </c>
      <c r="C26">
        <v>9990004591</v>
      </c>
      <c r="D26" s="2">
        <v>44663</v>
      </c>
      <c r="E26" t="s">
        <v>0</v>
      </c>
      <c r="F26" t="s">
        <v>1</v>
      </c>
      <c r="G26" t="s">
        <v>149</v>
      </c>
      <c r="H26" t="s">
        <v>109</v>
      </c>
      <c r="J26" s="3" t="s">
        <v>4</v>
      </c>
      <c r="K26" s="2">
        <v>44723</v>
      </c>
      <c r="L26" s="4">
        <v>4373.59</v>
      </c>
      <c r="M26" t="s">
        <v>5</v>
      </c>
      <c r="N26" s="4">
        <v>4373.59</v>
      </c>
      <c r="O26" t="s">
        <v>150</v>
      </c>
      <c r="P26" s="4">
        <v>3969.02</v>
      </c>
      <c r="Q26" s="5">
        <v>19</v>
      </c>
      <c r="R26" t="s">
        <v>151</v>
      </c>
      <c r="S26" t="s">
        <v>152</v>
      </c>
      <c r="T26" t="s">
        <v>4</v>
      </c>
      <c r="U26" t="s">
        <v>153</v>
      </c>
      <c r="V26" s="2">
        <v>44743</v>
      </c>
      <c r="W26" t="s">
        <v>10</v>
      </c>
    </row>
    <row r="27" spans="1:23" ht="14.1" customHeight="1" outlineLevel="2" x14ac:dyDescent="0.25">
      <c r="A27" t="str">
        <f t="shared" si="0"/>
        <v>9990004591Seagate Technology LLC89563</v>
      </c>
      <c r="B27" t="s">
        <v>1973</v>
      </c>
      <c r="C27">
        <v>9990004591</v>
      </c>
      <c r="D27" s="2">
        <v>44571</v>
      </c>
      <c r="E27" t="s">
        <v>0</v>
      </c>
      <c r="F27" t="s">
        <v>1</v>
      </c>
      <c r="G27" t="s">
        <v>154</v>
      </c>
      <c r="H27" t="s">
        <v>109</v>
      </c>
      <c r="J27" s="3" t="s">
        <v>4</v>
      </c>
      <c r="K27" s="2">
        <v>44631</v>
      </c>
      <c r="L27" s="4">
        <v>89563</v>
      </c>
      <c r="M27" t="s">
        <v>5</v>
      </c>
      <c r="N27" s="4">
        <v>89563</v>
      </c>
      <c r="O27" t="s">
        <v>155</v>
      </c>
      <c r="P27" s="4">
        <v>81278.42</v>
      </c>
      <c r="Q27" s="5">
        <v>111</v>
      </c>
      <c r="R27" t="s">
        <v>156</v>
      </c>
      <c r="S27" t="s">
        <v>157</v>
      </c>
      <c r="T27" t="s">
        <v>26</v>
      </c>
      <c r="U27" t="s">
        <v>158</v>
      </c>
      <c r="V27" s="2">
        <v>44743</v>
      </c>
      <c r="W27" t="s">
        <v>10</v>
      </c>
    </row>
    <row r="28" spans="1:23" ht="14.1" customHeight="1" outlineLevel="2" x14ac:dyDescent="0.25">
      <c r="A28" t="str">
        <f t="shared" si="0"/>
        <v>9990004591Seagate Technology LLC18362,5</v>
      </c>
      <c r="B28" t="s">
        <v>1974</v>
      </c>
      <c r="C28">
        <v>9990004591</v>
      </c>
      <c r="D28" s="2">
        <v>44630</v>
      </c>
      <c r="E28" t="s">
        <v>0</v>
      </c>
      <c r="F28" t="s">
        <v>1</v>
      </c>
      <c r="G28" t="s">
        <v>159</v>
      </c>
      <c r="H28" t="s">
        <v>109</v>
      </c>
      <c r="J28" s="3" t="s">
        <v>4</v>
      </c>
      <c r="K28" s="2">
        <v>44690</v>
      </c>
      <c r="L28" s="4">
        <v>18362.5</v>
      </c>
      <c r="M28" t="s">
        <v>5</v>
      </c>
      <c r="N28" s="4">
        <v>18362.5</v>
      </c>
      <c r="O28" t="s">
        <v>160</v>
      </c>
      <c r="P28" s="4">
        <v>16663.96</v>
      </c>
      <c r="Q28" s="5">
        <v>52</v>
      </c>
      <c r="R28" t="s">
        <v>161</v>
      </c>
      <c r="S28" t="s">
        <v>162</v>
      </c>
      <c r="T28" t="s">
        <v>4</v>
      </c>
      <c r="U28" t="s">
        <v>163</v>
      </c>
      <c r="V28" s="2">
        <v>44743</v>
      </c>
      <c r="W28" t="s">
        <v>10</v>
      </c>
    </row>
    <row r="29" spans="1:23" ht="14.1" customHeight="1" outlineLevel="2" x14ac:dyDescent="0.25">
      <c r="A29" t="str">
        <f t="shared" si="0"/>
        <v>9990004620DIAGEO BRASIL LTDA-742999,98</v>
      </c>
      <c r="B29" t="s">
        <v>1975</v>
      </c>
      <c r="C29">
        <v>9990004620</v>
      </c>
      <c r="D29" s="2">
        <v>44544</v>
      </c>
      <c r="E29" t="s">
        <v>164</v>
      </c>
      <c r="F29" t="s">
        <v>12</v>
      </c>
      <c r="G29" t="s">
        <v>165</v>
      </c>
      <c r="H29" t="s">
        <v>166</v>
      </c>
      <c r="J29" s="3" t="s">
        <v>4</v>
      </c>
      <c r="K29" s="2">
        <v>44544</v>
      </c>
      <c r="L29" s="4">
        <v>-742999.98</v>
      </c>
      <c r="M29" t="s">
        <v>5</v>
      </c>
      <c r="N29" s="4">
        <v>-742999.98</v>
      </c>
      <c r="O29" t="s">
        <v>167</v>
      </c>
      <c r="P29" s="4">
        <v>674272.49</v>
      </c>
      <c r="Q29" s="5">
        <v>198</v>
      </c>
      <c r="R29" t="s">
        <v>168</v>
      </c>
      <c r="S29" t="s">
        <v>169</v>
      </c>
      <c r="T29" t="s">
        <v>4</v>
      </c>
      <c r="U29" t="s">
        <v>170</v>
      </c>
      <c r="V29" s="2">
        <v>44743</v>
      </c>
      <c r="W29" t="s">
        <v>10</v>
      </c>
    </row>
    <row r="30" spans="1:23" ht="14.1" customHeight="1" outlineLevel="2" x14ac:dyDescent="0.25">
      <c r="A30" t="str">
        <f t="shared" si="0"/>
        <v>9990004620DIAGEO BRASIL LTDA613480</v>
      </c>
      <c r="B30" t="s">
        <v>1976</v>
      </c>
      <c r="C30">
        <v>9990004620</v>
      </c>
      <c r="D30" s="2">
        <v>44530</v>
      </c>
      <c r="E30" t="s">
        <v>0</v>
      </c>
      <c r="F30" t="s">
        <v>1</v>
      </c>
      <c r="G30" t="s">
        <v>171</v>
      </c>
      <c r="H30" t="s">
        <v>166</v>
      </c>
      <c r="J30" s="3" t="s">
        <v>4</v>
      </c>
      <c r="K30" s="2">
        <v>44590</v>
      </c>
      <c r="L30" s="4">
        <v>613480</v>
      </c>
      <c r="M30" t="s">
        <v>5</v>
      </c>
      <c r="N30" s="4">
        <v>613480</v>
      </c>
      <c r="O30" t="s">
        <v>172</v>
      </c>
      <c r="P30" s="4">
        <v>556733.1</v>
      </c>
      <c r="Q30" s="5">
        <v>152</v>
      </c>
      <c r="R30" t="s">
        <v>173</v>
      </c>
      <c r="S30" t="s">
        <v>174</v>
      </c>
      <c r="T30" t="s">
        <v>175</v>
      </c>
      <c r="U30" t="s">
        <v>176</v>
      </c>
      <c r="V30" s="2">
        <v>44743</v>
      </c>
      <c r="W30" t="s">
        <v>10</v>
      </c>
    </row>
    <row r="31" spans="1:23" ht="14.1" customHeight="1" outlineLevel="2" x14ac:dyDescent="0.25">
      <c r="A31" t="str">
        <f t="shared" si="0"/>
        <v>9990004620DIAGEO BRASIL LTDA110000</v>
      </c>
      <c r="B31" t="s">
        <v>1977</v>
      </c>
      <c r="C31">
        <v>9990004620</v>
      </c>
      <c r="D31" s="2">
        <v>44663</v>
      </c>
      <c r="E31" t="s">
        <v>0</v>
      </c>
      <c r="F31" t="s">
        <v>1</v>
      </c>
      <c r="G31" t="s">
        <v>177</v>
      </c>
      <c r="H31" t="s">
        <v>166</v>
      </c>
      <c r="J31" s="3" t="s">
        <v>4</v>
      </c>
      <c r="K31" s="2">
        <v>44693</v>
      </c>
      <c r="L31" s="4">
        <v>110000</v>
      </c>
      <c r="M31" t="s">
        <v>5</v>
      </c>
      <c r="N31" s="4">
        <v>110000</v>
      </c>
      <c r="O31" t="s">
        <v>178</v>
      </c>
      <c r="P31" s="4">
        <v>99825</v>
      </c>
      <c r="Q31" s="5">
        <v>49</v>
      </c>
      <c r="R31" t="s">
        <v>179</v>
      </c>
      <c r="S31" t="s">
        <v>180</v>
      </c>
      <c r="T31" t="s">
        <v>181</v>
      </c>
      <c r="U31" t="s">
        <v>182</v>
      </c>
      <c r="V31" s="2">
        <v>44743</v>
      </c>
      <c r="W31" t="s">
        <v>10</v>
      </c>
    </row>
    <row r="32" spans="1:23" ht="14.1" customHeight="1" outlineLevel="2" x14ac:dyDescent="0.25">
      <c r="A32" t="str">
        <f t="shared" si="0"/>
        <v>9990004620DIAGEO BRASIL LTDA101483,78</v>
      </c>
      <c r="B32" t="s">
        <v>1978</v>
      </c>
      <c r="C32">
        <v>9990004620</v>
      </c>
      <c r="D32" s="2">
        <v>44641</v>
      </c>
      <c r="E32" t="s">
        <v>0</v>
      </c>
      <c r="F32" t="s">
        <v>1</v>
      </c>
      <c r="G32" t="s">
        <v>183</v>
      </c>
      <c r="H32" t="s">
        <v>166</v>
      </c>
      <c r="J32" s="3" t="s">
        <v>4</v>
      </c>
      <c r="K32" s="2">
        <v>44701</v>
      </c>
      <c r="L32" s="4">
        <v>101483.78</v>
      </c>
      <c r="M32" t="s">
        <v>5</v>
      </c>
      <c r="N32" s="4">
        <v>101483.78</v>
      </c>
      <c r="O32" t="s">
        <v>184</v>
      </c>
      <c r="P32" s="4">
        <v>92096.53</v>
      </c>
      <c r="Q32" s="5">
        <v>41</v>
      </c>
      <c r="R32" t="s">
        <v>185</v>
      </c>
      <c r="S32" t="s">
        <v>186</v>
      </c>
      <c r="T32" t="s">
        <v>187</v>
      </c>
      <c r="U32" t="s">
        <v>188</v>
      </c>
      <c r="V32" s="2">
        <v>44743</v>
      </c>
      <c r="W32" t="s">
        <v>10</v>
      </c>
    </row>
    <row r="33" spans="1:23" ht="14.1" customHeight="1" outlineLevel="2" x14ac:dyDescent="0.25">
      <c r="A33" t="str">
        <f t="shared" si="0"/>
        <v>9990004620DIAGEO BRASIL LTDA715600,44</v>
      </c>
      <c r="B33" t="s">
        <v>1979</v>
      </c>
      <c r="C33">
        <v>9990004620</v>
      </c>
      <c r="D33" s="2">
        <v>44692</v>
      </c>
      <c r="E33" t="s">
        <v>0</v>
      </c>
      <c r="F33" t="s">
        <v>1</v>
      </c>
      <c r="G33" t="s">
        <v>189</v>
      </c>
      <c r="H33" t="s">
        <v>166</v>
      </c>
      <c r="J33" s="3" t="s">
        <v>4</v>
      </c>
      <c r="K33" s="2">
        <v>44722</v>
      </c>
      <c r="L33" s="4">
        <v>715600.44</v>
      </c>
      <c r="M33" t="s">
        <v>5</v>
      </c>
      <c r="N33" s="4">
        <v>715600.44</v>
      </c>
      <c r="O33" t="s">
        <v>190</v>
      </c>
      <c r="P33" s="4">
        <v>649407.4</v>
      </c>
      <c r="Q33" s="5">
        <v>20</v>
      </c>
      <c r="R33" t="s">
        <v>191</v>
      </c>
      <c r="S33" t="s">
        <v>192</v>
      </c>
      <c r="T33" t="s">
        <v>193</v>
      </c>
      <c r="U33" t="s">
        <v>194</v>
      </c>
      <c r="V33" s="2">
        <v>44743</v>
      </c>
      <c r="W33" t="s">
        <v>10</v>
      </c>
    </row>
    <row r="34" spans="1:23" ht="14.1" customHeight="1" outlineLevel="2" x14ac:dyDescent="0.25">
      <c r="A34" t="str">
        <f t="shared" si="0"/>
        <v>9990004663Pernod Ricard Brasil Ind. e Com. Lt-27344</v>
      </c>
      <c r="B34" t="s">
        <v>1980</v>
      </c>
      <c r="C34">
        <v>9990004663</v>
      </c>
      <c r="D34" s="2">
        <v>44727</v>
      </c>
      <c r="E34" t="s">
        <v>195</v>
      </c>
      <c r="F34" t="s">
        <v>12</v>
      </c>
      <c r="G34" t="s">
        <v>196</v>
      </c>
      <c r="H34" t="s">
        <v>197</v>
      </c>
      <c r="J34" s="3" t="s">
        <v>4</v>
      </c>
      <c r="K34" s="2">
        <v>44727</v>
      </c>
      <c r="L34" s="4">
        <v>-27344</v>
      </c>
      <c r="M34" t="s">
        <v>5</v>
      </c>
      <c r="N34" s="4">
        <v>-27344</v>
      </c>
      <c r="O34" t="s">
        <v>198</v>
      </c>
      <c r="P34" s="4">
        <v>24814.68</v>
      </c>
      <c r="Q34" s="5">
        <v>15</v>
      </c>
      <c r="R34" t="s">
        <v>199</v>
      </c>
      <c r="S34" t="s">
        <v>200</v>
      </c>
      <c r="T34" t="s">
        <v>4</v>
      </c>
      <c r="U34" t="s">
        <v>201</v>
      </c>
      <c r="V34" s="2">
        <v>44743</v>
      </c>
      <c r="W34" t="s">
        <v>10</v>
      </c>
    </row>
    <row r="35" spans="1:23" ht="14.1" customHeight="1" outlineLevel="2" x14ac:dyDescent="0.25">
      <c r="A35" t="str">
        <f t="shared" si="0"/>
        <v>9990004663Pernod Ricard Brasil Ind. e Com. Lt34944</v>
      </c>
      <c r="B35" t="s">
        <v>1981</v>
      </c>
      <c r="C35">
        <v>9990004663</v>
      </c>
      <c r="D35" s="2">
        <v>44602</v>
      </c>
      <c r="E35" t="s">
        <v>0</v>
      </c>
      <c r="F35" t="s">
        <v>1</v>
      </c>
      <c r="G35" t="s">
        <v>202</v>
      </c>
      <c r="H35" t="s">
        <v>197</v>
      </c>
      <c r="J35" s="3" t="s">
        <v>4</v>
      </c>
      <c r="K35" s="2">
        <v>44662</v>
      </c>
      <c r="L35" s="4">
        <v>34944</v>
      </c>
      <c r="M35" t="s">
        <v>5</v>
      </c>
      <c r="N35" s="4">
        <v>34944</v>
      </c>
      <c r="O35" t="s">
        <v>203</v>
      </c>
      <c r="P35" s="4">
        <v>31711.68</v>
      </c>
      <c r="Q35" s="5">
        <v>80</v>
      </c>
      <c r="R35" t="s">
        <v>204</v>
      </c>
      <c r="S35" t="s">
        <v>205</v>
      </c>
      <c r="T35" t="s">
        <v>4</v>
      </c>
      <c r="U35" t="s">
        <v>206</v>
      </c>
      <c r="V35" s="2">
        <v>44743</v>
      </c>
      <c r="W35" t="s">
        <v>10</v>
      </c>
    </row>
    <row r="36" spans="1:23" ht="14.1" customHeight="1" outlineLevel="2" x14ac:dyDescent="0.25">
      <c r="A36" t="str">
        <f t="shared" si="0"/>
        <v>9990004711LOREAL BRASIL COMERCIAL DE COSMETIC150000</v>
      </c>
      <c r="B36" t="s">
        <v>1982</v>
      </c>
      <c r="C36">
        <v>9990004711</v>
      </c>
      <c r="D36" s="2">
        <v>44692</v>
      </c>
      <c r="E36" t="s">
        <v>0</v>
      </c>
      <c r="F36" t="s">
        <v>1</v>
      </c>
      <c r="G36" t="s">
        <v>207</v>
      </c>
      <c r="H36" t="s">
        <v>208</v>
      </c>
      <c r="J36" s="3" t="s">
        <v>4</v>
      </c>
      <c r="K36" s="2">
        <v>44722</v>
      </c>
      <c r="L36" s="4">
        <v>150000</v>
      </c>
      <c r="M36" t="s">
        <v>5</v>
      </c>
      <c r="N36" s="4">
        <v>150000</v>
      </c>
      <c r="O36" t="s">
        <v>209</v>
      </c>
      <c r="P36" s="4">
        <v>136125</v>
      </c>
      <c r="Q36" s="5">
        <v>20</v>
      </c>
      <c r="R36" t="s">
        <v>210</v>
      </c>
      <c r="S36" t="s">
        <v>211</v>
      </c>
      <c r="T36" t="s">
        <v>4</v>
      </c>
      <c r="U36" t="s">
        <v>212</v>
      </c>
      <c r="V36" s="2">
        <v>44743</v>
      </c>
      <c r="W36" t="s">
        <v>10</v>
      </c>
    </row>
    <row r="37" spans="1:23" ht="14.1" customHeight="1" outlineLevel="2" x14ac:dyDescent="0.25">
      <c r="A37" t="str">
        <f t="shared" si="0"/>
        <v>9990004711LOREAL BRASIL COMERCIAL DE COSMETIC75000</v>
      </c>
      <c r="B37" t="s">
        <v>1983</v>
      </c>
      <c r="C37">
        <v>9990004711</v>
      </c>
      <c r="D37" s="2">
        <v>44663</v>
      </c>
      <c r="E37" t="s">
        <v>0</v>
      </c>
      <c r="F37" t="s">
        <v>1</v>
      </c>
      <c r="G37" t="s">
        <v>213</v>
      </c>
      <c r="H37" t="s">
        <v>208</v>
      </c>
      <c r="J37" s="3" t="s">
        <v>4</v>
      </c>
      <c r="K37" s="2">
        <v>44693</v>
      </c>
      <c r="L37" s="4">
        <v>75000</v>
      </c>
      <c r="M37" t="s">
        <v>5</v>
      </c>
      <c r="N37" s="4">
        <v>75000</v>
      </c>
      <c r="O37" t="s">
        <v>214</v>
      </c>
      <c r="P37" s="4">
        <v>68062.5</v>
      </c>
      <c r="Q37" s="5">
        <v>49</v>
      </c>
      <c r="R37" t="s">
        <v>215</v>
      </c>
      <c r="S37" t="s">
        <v>216</v>
      </c>
      <c r="T37" t="s">
        <v>4</v>
      </c>
      <c r="U37" t="s">
        <v>217</v>
      </c>
      <c r="V37" s="2">
        <v>44743</v>
      </c>
      <c r="W37" t="s">
        <v>10</v>
      </c>
    </row>
    <row r="38" spans="1:23" ht="14.1" customHeight="1" outlineLevel="2" x14ac:dyDescent="0.25">
      <c r="A38" t="str">
        <f t="shared" si="0"/>
        <v>9990004882ELEGANCIA DISTRIBUIDORA DE COSMETIC40924</v>
      </c>
      <c r="B38" t="s">
        <v>1984</v>
      </c>
      <c r="C38">
        <v>9990004882</v>
      </c>
      <c r="D38" s="2">
        <v>44419</v>
      </c>
      <c r="E38" t="s">
        <v>0</v>
      </c>
      <c r="F38" t="s">
        <v>1</v>
      </c>
      <c r="G38" t="s">
        <v>218</v>
      </c>
      <c r="H38" t="s">
        <v>219</v>
      </c>
      <c r="J38" s="3" t="s">
        <v>4</v>
      </c>
      <c r="K38" s="2">
        <v>44479</v>
      </c>
      <c r="L38" s="4">
        <v>40924</v>
      </c>
      <c r="M38" t="s">
        <v>5</v>
      </c>
      <c r="N38" s="4">
        <v>40924</v>
      </c>
      <c r="O38" t="s">
        <v>220</v>
      </c>
      <c r="P38" s="4">
        <v>37138.53</v>
      </c>
      <c r="Q38" s="5">
        <v>263</v>
      </c>
      <c r="R38" t="s">
        <v>221</v>
      </c>
      <c r="S38" t="s">
        <v>222</v>
      </c>
      <c r="T38" t="s">
        <v>223</v>
      </c>
      <c r="U38" t="s">
        <v>224</v>
      </c>
      <c r="V38" s="2">
        <v>44743</v>
      </c>
      <c r="W38" t="s">
        <v>10</v>
      </c>
    </row>
    <row r="39" spans="1:23" ht="14.1" customHeight="1" outlineLevel="2" x14ac:dyDescent="0.25">
      <c r="A39" t="str">
        <f t="shared" si="0"/>
        <v>9990004882ELEGANCIA DISTRIBUIDORA DE COSMETIC63784</v>
      </c>
      <c r="B39" t="s">
        <v>1985</v>
      </c>
      <c r="C39">
        <v>9990004882</v>
      </c>
      <c r="D39" s="2">
        <v>44482</v>
      </c>
      <c r="E39" t="s">
        <v>0</v>
      </c>
      <c r="F39" t="s">
        <v>1</v>
      </c>
      <c r="G39" t="s">
        <v>225</v>
      </c>
      <c r="H39" t="s">
        <v>219</v>
      </c>
      <c r="J39" s="3" t="s">
        <v>4</v>
      </c>
      <c r="K39" s="2">
        <v>44542</v>
      </c>
      <c r="L39" s="4">
        <v>63784</v>
      </c>
      <c r="M39" t="s">
        <v>5</v>
      </c>
      <c r="N39" s="4">
        <v>63784</v>
      </c>
      <c r="O39" t="s">
        <v>226</v>
      </c>
      <c r="P39" s="4">
        <v>57883.98</v>
      </c>
      <c r="Q39" s="5">
        <v>200</v>
      </c>
      <c r="R39" t="s">
        <v>227</v>
      </c>
      <c r="S39" t="s">
        <v>228</v>
      </c>
      <c r="T39" t="s">
        <v>26</v>
      </c>
      <c r="U39" t="s">
        <v>229</v>
      </c>
      <c r="V39" s="2">
        <v>44743</v>
      </c>
      <c r="W39" t="s">
        <v>10</v>
      </c>
    </row>
    <row r="40" spans="1:23" ht="14.1" customHeight="1" outlineLevel="2" x14ac:dyDescent="0.25">
      <c r="A40" t="str">
        <f t="shared" si="0"/>
        <v>9990004882ELEGANCIA DISTRIBUIDORA DE COSMETIC29959,51</v>
      </c>
      <c r="B40" t="s">
        <v>1986</v>
      </c>
      <c r="C40">
        <v>9990004882</v>
      </c>
      <c r="D40" s="2">
        <v>44389</v>
      </c>
      <c r="E40" t="s">
        <v>0</v>
      </c>
      <c r="F40" t="s">
        <v>1</v>
      </c>
      <c r="G40" t="s">
        <v>230</v>
      </c>
      <c r="H40" t="s">
        <v>219</v>
      </c>
      <c r="J40" s="3" t="s">
        <v>4</v>
      </c>
      <c r="K40" s="2">
        <v>44419</v>
      </c>
      <c r="L40" s="4">
        <v>29959.51</v>
      </c>
      <c r="M40" t="s">
        <v>5</v>
      </c>
      <c r="N40" s="4">
        <v>29959.51</v>
      </c>
      <c r="O40" t="s">
        <v>231</v>
      </c>
      <c r="P40" s="4">
        <v>27188.26</v>
      </c>
      <c r="Q40" s="5">
        <v>323</v>
      </c>
      <c r="R40" t="s">
        <v>232</v>
      </c>
      <c r="S40" t="s">
        <v>233</v>
      </c>
      <c r="T40" t="s">
        <v>223</v>
      </c>
      <c r="U40" t="s">
        <v>234</v>
      </c>
      <c r="V40" s="2">
        <v>44743</v>
      </c>
      <c r="W40" t="s">
        <v>10</v>
      </c>
    </row>
    <row r="41" spans="1:23" ht="14.1" customHeight="1" outlineLevel="2" x14ac:dyDescent="0.25">
      <c r="A41" t="str">
        <f t="shared" si="0"/>
        <v>9990004882ELEGANCIA DISTRIBUIDORA DE COSMETIC8682,51</v>
      </c>
      <c r="B41" t="s">
        <v>1987</v>
      </c>
      <c r="C41">
        <v>9990004882</v>
      </c>
      <c r="D41" s="2">
        <v>44357</v>
      </c>
      <c r="E41" t="s">
        <v>0</v>
      </c>
      <c r="F41" t="s">
        <v>1</v>
      </c>
      <c r="G41" t="s">
        <v>235</v>
      </c>
      <c r="H41" t="s">
        <v>219</v>
      </c>
      <c r="J41" s="3" t="s">
        <v>4</v>
      </c>
      <c r="K41" s="2">
        <v>44387</v>
      </c>
      <c r="L41" s="4">
        <v>8682.51</v>
      </c>
      <c r="M41" t="s">
        <v>5</v>
      </c>
      <c r="N41" s="4">
        <v>8682.51</v>
      </c>
      <c r="O41" t="s">
        <v>236</v>
      </c>
      <c r="P41" s="4">
        <v>7879.38</v>
      </c>
      <c r="Q41" s="5">
        <v>355</v>
      </c>
      <c r="R41" t="s">
        <v>237</v>
      </c>
      <c r="S41" t="s">
        <v>238</v>
      </c>
      <c r="T41" t="s">
        <v>223</v>
      </c>
      <c r="U41" t="s">
        <v>239</v>
      </c>
      <c r="V41" s="2">
        <v>44743</v>
      </c>
      <c r="W41" t="s">
        <v>10</v>
      </c>
    </row>
    <row r="42" spans="1:23" ht="14.1" customHeight="1" outlineLevel="2" x14ac:dyDescent="0.25">
      <c r="A42" t="str">
        <f t="shared" si="0"/>
        <v>9990004882ELEGANCIA DISTRIBUIDORA DE COSMETIC1688,86</v>
      </c>
      <c r="B42" t="s">
        <v>1988</v>
      </c>
      <c r="C42">
        <v>9990004882</v>
      </c>
      <c r="D42" s="2">
        <v>44357</v>
      </c>
      <c r="E42" t="s">
        <v>0</v>
      </c>
      <c r="F42" t="s">
        <v>1</v>
      </c>
      <c r="G42" t="s">
        <v>240</v>
      </c>
      <c r="H42" t="s">
        <v>219</v>
      </c>
      <c r="J42" s="3" t="s">
        <v>4</v>
      </c>
      <c r="K42" s="2">
        <v>44387</v>
      </c>
      <c r="L42" s="4">
        <v>1688.86</v>
      </c>
      <c r="M42" t="s">
        <v>5</v>
      </c>
      <c r="N42" s="4">
        <v>1688.86</v>
      </c>
      <c r="O42" t="s">
        <v>241</v>
      </c>
      <c r="P42" s="4">
        <v>1532.64</v>
      </c>
      <c r="Q42" s="5">
        <v>355</v>
      </c>
      <c r="R42" t="s">
        <v>242</v>
      </c>
      <c r="S42" t="s">
        <v>243</v>
      </c>
      <c r="T42" t="s">
        <v>26</v>
      </c>
      <c r="U42" t="s">
        <v>244</v>
      </c>
      <c r="V42" s="2">
        <v>44743</v>
      </c>
      <c r="W42" t="s">
        <v>10</v>
      </c>
    </row>
    <row r="43" spans="1:23" ht="14.1" customHeight="1" outlineLevel="2" x14ac:dyDescent="0.25">
      <c r="A43" t="str">
        <f t="shared" si="0"/>
        <v>9990004913MERCK SHARP &amp; DOHME SAUDE ANIMAL LT4449</v>
      </c>
      <c r="B43" t="s">
        <v>1989</v>
      </c>
      <c r="C43">
        <v>9990004913</v>
      </c>
      <c r="D43" s="2">
        <v>44510</v>
      </c>
      <c r="E43" t="s">
        <v>0</v>
      </c>
      <c r="F43" t="s">
        <v>1</v>
      </c>
      <c r="G43" t="s">
        <v>245</v>
      </c>
      <c r="H43" t="s">
        <v>246</v>
      </c>
      <c r="J43" s="3" t="s">
        <v>4</v>
      </c>
      <c r="K43" s="2">
        <v>44540</v>
      </c>
      <c r="L43" s="4">
        <v>4449</v>
      </c>
      <c r="M43" t="s">
        <v>5</v>
      </c>
      <c r="N43" s="4">
        <v>4449</v>
      </c>
      <c r="O43" t="s">
        <v>247</v>
      </c>
      <c r="P43" s="4">
        <v>4037.47</v>
      </c>
      <c r="Q43" s="5">
        <v>202</v>
      </c>
      <c r="R43" t="s">
        <v>248</v>
      </c>
      <c r="S43" t="s">
        <v>249</v>
      </c>
      <c r="T43" t="s">
        <v>250</v>
      </c>
      <c r="U43" t="s">
        <v>251</v>
      </c>
      <c r="V43" s="2">
        <v>44743</v>
      </c>
      <c r="W43" t="s">
        <v>10</v>
      </c>
    </row>
    <row r="44" spans="1:23" ht="14.1" customHeight="1" outlineLevel="2" x14ac:dyDescent="0.25">
      <c r="A44" t="str">
        <f t="shared" si="0"/>
        <v>9990005187FRESNOMAQ INDUSTRIA DE MAQUINAS S A10000</v>
      </c>
      <c r="B44" t="s">
        <v>1990</v>
      </c>
      <c r="C44">
        <v>9990005187</v>
      </c>
      <c r="D44" s="2">
        <v>44692</v>
      </c>
      <c r="E44" t="s">
        <v>0</v>
      </c>
      <c r="F44" t="s">
        <v>1</v>
      </c>
      <c r="G44" t="s">
        <v>252</v>
      </c>
      <c r="H44" t="s">
        <v>253</v>
      </c>
      <c r="J44" s="3" t="s">
        <v>4</v>
      </c>
      <c r="K44" s="2">
        <v>44739</v>
      </c>
      <c r="L44" s="4">
        <v>10000</v>
      </c>
      <c r="M44" t="s">
        <v>5</v>
      </c>
      <c r="N44" s="4">
        <v>10000</v>
      </c>
      <c r="O44" t="s">
        <v>254</v>
      </c>
      <c r="P44" s="4">
        <v>9075</v>
      </c>
      <c r="Q44" s="5">
        <v>3</v>
      </c>
      <c r="R44" t="s">
        <v>255</v>
      </c>
      <c r="S44" t="s">
        <v>256</v>
      </c>
      <c r="T44" t="s">
        <v>4</v>
      </c>
      <c r="U44" t="s">
        <v>257</v>
      </c>
      <c r="V44" s="2">
        <v>44743</v>
      </c>
      <c r="W44" t="s">
        <v>10</v>
      </c>
    </row>
    <row r="45" spans="1:23" ht="14.1" customHeight="1" outlineLevel="2" x14ac:dyDescent="0.25">
      <c r="A45" t="str">
        <f t="shared" si="0"/>
        <v>9990005187FRESNOMAQ INDUSTRIA DE MAQUINAS S A10000</v>
      </c>
      <c r="B45" t="s">
        <v>1990</v>
      </c>
      <c r="C45">
        <v>9990005187</v>
      </c>
      <c r="D45" s="2">
        <v>44692</v>
      </c>
      <c r="E45" t="s">
        <v>0</v>
      </c>
      <c r="F45" t="s">
        <v>1</v>
      </c>
      <c r="G45" t="s">
        <v>258</v>
      </c>
      <c r="H45" t="s">
        <v>253</v>
      </c>
      <c r="J45" s="3" t="s">
        <v>4</v>
      </c>
      <c r="K45" s="2">
        <v>44739</v>
      </c>
      <c r="L45" s="4">
        <v>10000</v>
      </c>
      <c r="M45" t="s">
        <v>5</v>
      </c>
      <c r="N45" s="4">
        <v>10000</v>
      </c>
      <c r="O45" t="s">
        <v>259</v>
      </c>
      <c r="P45" s="4">
        <v>9075</v>
      </c>
      <c r="Q45" s="5">
        <v>3</v>
      </c>
      <c r="R45" t="s">
        <v>260</v>
      </c>
      <c r="S45" t="s">
        <v>261</v>
      </c>
      <c r="T45" t="s">
        <v>4</v>
      </c>
      <c r="U45" t="s">
        <v>262</v>
      </c>
      <c r="V45" s="2">
        <v>44743</v>
      </c>
      <c r="W45" t="s">
        <v>10</v>
      </c>
    </row>
    <row r="46" spans="1:23" ht="14.1" customHeight="1" outlineLevel="2" x14ac:dyDescent="0.25">
      <c r="A46" t="str">
        <f t="shared" si="0"/>
        <v>9990005188PROCTER &amp; GAMBLE INDUSTRIAL3156,62</v>
      </c>
      <c r="B46" t="s">
        <v>1991</v>
      </c>
      <c r="C46">
        <v>9990005188</v>
      </c>
      <c r="D46" s="2">
        <v>44265</v>
      </c>
      <c r="E46" t="s">
        <v>0</v>
      </c>
      <c r="F46" t="s">
        <v>1</v>
      </c>
      <c r="G46" t="s">
        <v>263</v>
      </c>
      <c r="H46" t="s">
        <v>264</v>
      </c>
      <c r="J46" s="3" t="s">
        <v>4</v>
      </c>
      <c r="K46" s="2">
        <v>44355</v>
      </c>
      <c r="L46" s="4">
        <v>3156.62</v>
      </c>
      <c r="M46" t="s">
        <v>5</v>
      </c>
      <c r="N46" s="4">
        <v>3156.62</v>
      </c>
      <c r="O46" t="s">
        <v>265</v>
      </c>
      <c r="P46" s="4">
        <v>2864.64</v>
      </c>
      <c r="Q46" s="5">
        <v>387</v>
      </c>
      <c r="R46" t="s">
        <v>266</v>
      </c>
      <c r="S46" t="s">
        <v>267</v>
      </c>
      <c r="T46" t="s">
        <v>268</v>
      </c>
      <c r="U46" t="s">
        <v>269</v>
      </c>
      <c r="V46" s="2">
        <v>44743</v>
      </c>
      <c r="W46" t="s">
        <v>10</v>
      </c>
    </row>
    <row r="47" spans="1:23" ht="14.1" customHeight="1" outlineLevel="2" x14ac:dyDescent="0.25">
      <c r="A47" t="str">
        <f t="shared" si="0"/>
        <v>9990005190Epson do Brasil Indústria10132,72</v>
      </c>
      <c r="B47" t="s">
        <v>1992</v>
      </c>
      <c r="C47">
        <v>9990005190</v>
      </c>
      <c r="D47" s="2">
        <v>44701</v>
      </c>
      <c r="E47" t="s">
        <v>0</v>
      </c>
      <c r="F47" t="s">
        <v>1</v>
      </c>
      <c r="G47" t="s">
        <v>270</v>
      </c>
      <c r="H47" t="s">
        <v>271</v>
      </c>
      <c r="J47" s="3" t="s">
        <v>4</v>
      </c>
      <c r="K47" s="2">
        <v>44731</v>
      </c>
      <c r="L47" s="4">
        <v>10132.719999999999</v>
      </c>
      <c r="M47" t="s">
        <v>5</v>
      </c>
      <c r="N47" s="4">
        <v>10132.719999999999</v>
      </c>
      <c r="O47" t="s">
        <v>272</v>
      </c>
      <c r="P47" s="4">
        <v>9195.44</v>
      </c>
      <c r="Q47" s="5">
        <v>11</v>
      </c>
      <c r="R47" t="s">
        <v>273</v>
      </c>
      <c r="S47" t="s">
        <v>274</v>
      </c>
      <c r="T47" t="s">
        <v>4</v>
      </c>
      <c r="U47" t="s">
        <v>275</v>
      </c>
      <c r="V47" s="2">
        <v>44743</v>
      </c>
      <c r="W47" t="s">
        <v>10</v>
      </c>
    </row>
    <row r="48" spans="1:23" ht="14.1" customHeight="1" outlineLevel="2" x14ac:dyDescent="0.25">
      <c r="A48" t="str">
        <f t="shared" si="0"/>
        <v>9990005281ALLIED TECNOLOGIA S.A.7073</v>
      </c>
      <c r="B48" t="s">
        <v>1993</v>
      </c>
      <c r="C48">
        <v>9990005281</v>
      </c>
      <c r="D48" s="2">
        <v>44602</v>
      </c>
      <c r="E48" t="s">
        <v>0</v>
      </c>
      <c r="F48" t="s">
        <v>1</v>
      </c>
      <c r="G48" t="s">
        <v>276</v>
      </c>
      <c r="H48" t="s">
        <v>277</v>
      </c>
      <c r="J48" s="3" t="s">
        <v>4</v>
      </c>
      <c r="K48" s="2">
        <v>44662</v>
      </c>
      <c r="L48" s="4">
        <v>7073</v>
      </c>
      <c r="M48" t="s">
        <v>5</v>
      </c>
      <c r="N48" s="4">
        <v>7073</v>
      </c>
      <c r="O48" t="s">
        <v>278</v>
      </c>
      <c r="P48" s="4">
        <v>6418.75</v>
      </c>
      <c r="Q48" s="5">
        <v>80</v>
      </c>
      <c r="R48" t="s">
        <v>279</v>
      </c>
      <c r="S48" t="s">
        <v>280</v>
      </c>
      <c r="T48" t="s">
        <v>4</v>
      </c>
      <c r="U48" t="s">
        <v>281</v>
      </c>
      <c r="V48" s="2">
        <v>44743</v>
      </c>
      <c r="W48" t="s">
        <v>10</v>
      </c>
    </row>
    <row r="49" spans="1:23" ht="14.1" customHeight="1" outlineLevel="2" x14ac:dyDescent="0.25">
      <c r="A49" t="str">
        <f t="shared" si="0"/>
        <v>9990005282COMERCIO DE COMESTICOS PAIXAO PELA71051,8</v>
      </c>
      <c r="B49" t="s">
        <v>1994</v>
      </c>
      <c r="C49">
        <v>9990005282</v>
      </c>
      <c r="D49" s="2">
        <v>44630</v>
      </c>
      <c r="E49" t="s">
        <v>0</v>
      </c>
      <c r="F49" t="s">
        <v>1</v>
      </c>
      <c r="G49" t="s">
        <v>282</v>
      </c>
      <c r="H49" t="s">
        <v>283</v>
      </c>
      <c r="J49" s="3" t="s">
        <v>4</v>
      </c>
      <c r="K49" s="2">
        <v>44660</v>
      </c>
      <c r="L49" s="4">
        <v>71051.8</v>
      </c>
      <c r="M49" t="s">
        <v>5</v>
      </c>
      <c r="N49" s="4">
        <v>71051.8</v>
      </c>
      <c r="O49" t="s">
        <v>284</v>
      </c>
      <c r="P49" s="4">
        <v>64479.51</v>
      </c>
      <c r="Q49" s="5">
        <v>82</v>
      </c>
      <c r="R49" t="s">
        <v>285</v>
      </c>
      <c r="S49" t="s">
        <v>286</v>
      </c>
      <c r="T49" t="s">
        <v>4</v>
      </c>
      <c r="U49" t="s">
        <v>287</v>
      </c>
      <c r="V49" s="2">
        <v>44743</v>
      </c>
      <c r="W49" t="s">
        <v>10</v>
      </c>
    </row>
    <row r="50" spans="1:23" ht="14.1" customHeight="1" outlineLevel="2" x14ac:dyDescent="0.25">
      <c r="A50" t="str">
        <f t="shared" si="0"/>
        <v>9990005282COMERCIO DE COMESTICOS PAIXAO PELA40858</v>
      </c>
      <c r="B50" t="s">
        <v>1995</v>
      </c>
      <c r="C50">
        <v>9990005282</v>
      </c>
      <c r="D50" s="2">
        <v>44602</v>
      </c>
      <c r="E50" t="s">
        <v>0</v>
      </c>
      <c r="F50" t="s">
        <v>1</v>
      </c>
      <c r="G50" t="s">
        <v>288</v>
      </c>
      <c r="H50" t="s">
        <v>283</v>
      </c>
      <c r="J50" s="3" t="s">
        <v>4</v>
      </c>
      <c r="K50" s="2">
        <v>44632</v>
      </c>
      <c r="L50" s="4">
        <v>40858</v>
      </c>
      <c r="M50" t="s">
        <v>5</v>
      </c>
      <c r="N50" s="4">
        <v>40858</v>
      </c>
      <c r="O50" t="s">
        <v>289</v>
      </c>
      <c r="P50" s="4">
        <v>37078.629999999997</v>
      </c>
      <c r="Q50" s="5">
        <v>110</v>
      </c>
      <c r="R50" t="s">
        <v>290</v>
      </c>
      <c r="S50" t="s">
        <v>291</v>
      </c>
      <c r="T50" t="s">
        <v>4</v>
      </c>
      <c r="U50" t="s">
        <v>292</v>
      </c>
      <c r="V50" s="2">
        <v>44743</v>
      </c>
      <c r="W50" t="s">
        <v>10</v>
      </c>
    </row>
    <row r="51" spans="1:23" ht="14.1" customHeight="1" outlineLevel="2" x14ac:dyDescent="0.25">
      <c r="A51" t="str">
        <f t="shared" si="0"/>
        <v>9990005328UNILEVER BRASIL LTDA16</v>
      </c>
      <c r="B51" t="s">
        <v>1996</v>
      </c>
      <c r="C51">
        <v>9990005328</v>
      </c>
      <c r="D51" s="2">
        <v>44510</v>
      </c>
      <c r="E51" t="s">
        <v>0</v>
      </c>
      <c r="F51" t="s">
        <v>1</v>
      </c>
      <c r="G51" t="s">
        <v>293</v>
      </c>
      <c r="H51" t="s">
        <v>294</v>
      </c>
      <c r="J51" s="3" t="s">
        <v>4</v>
      </c>
      <c r="K51" s="2">
        <v>44540</v>
      </c>
      <c r="L51" s="4">
        <v>16</v>
      </c>
      <c r="M51" t="s">
        <v>5</v>
      </c>
      <c r="N51" s="4">
        <v>16</v>
      </c>
      <c r="O51" t="s">
        <v>295</v>
      </c>
      <c r="P51" s="4">
        <v>14.52</v>
      </c>
      <c r="Q51" s="5">
        <v>202</v>
      </c>
      <c r="R51" t="s">
        <v>296</v>
      </c>
      <c r="S51" t="s">
        <v>297</v>
      </c>
      <c r="T51" t="s">
        <v>298</v>
      </c>
      <c r="U51" t="s">
        <v>299</v>
      </c>
      <c r="V51" s="2">
        <v>44743</v>
      </c>
      <c r="W51" t="s">
        <v>10</v>
      </c>
    </row>
    <row r="52" spans="1:23" ht="14.1" customHeight="1" outlineLevel="2" x14ac:dyDescent="0.25">
      <c r="A52" t="str">
        <f t="shared" si="0"/>
        <v>9990005328UNILEVER BRASIL LTDA6158</v>
      </c>
      <c r="B52" t="s">
        <v>1997</v>
      </c>
      <c r="C52">
        <v>9990005328</v>
      </c>
      <c r="D52" s="2">
        <v>44571</v>
      </c>
      <c r="E52" t="s">
        <v>0</v>
      </c>
      <c r="F52" t="s">
        <v>1</v>
      </c>
      <c r="G52" t="s">
        <v>300</v>
      </c>
      <c r="H52" t="s">
        <v>294</v>
      </c>
      <c r="J52" s="3" t="s">
        <v>4</v>
      </c>
      <c r="K52" s="2">
        <v>44601</v>
      </c>
      <c r="L52" s="4">
        <v>6158</v>
      </c>
      <c r="M52" t="s">
        <v>5</v>
      </c>
      <c r="N52" s="4">
        <v>6158</v>
      </c>
      <c r="O52" t="s">
        <v>301</v>
      </c>
      <c r="P52" s="4">
        <v>5588.38</v>
      </c>
      <c r="Q52" s="5">
        <v>141</v>
      </c>
      <c r="R52" t="s">
        <v>302</v>
      </c>
      <c r="S52" t="s">
        <v>303</v>
      </c>
      <c r="T52" t="s">
        <v>26</v>
      </c>
      <c r="U52" t="s">
        <v>304</v>
      </c>
      <c r="V52" s="2">
        <v>44743</v>
      </c>
      <c r="W52" t="s">
        <v>10</v>
      </c>
    </row>
    <row r="53" spans="1:23" ht="14.1" customHeight="1" outlineLevel="2" x14ac:dyDescent="0.25">
      <c r="A53" t="str">
        <f t="shared" si="0"/>
        <v>9990005330CERAS JOHNSON LTDA20000</v>
      </c>
      <c r="B53" t="s">
        <v>1998</v>
      </c>
      <c r="C53">
        <v>9990005330</v>
      </c>
      <c r="D53" s="2">
        <v>44692</v>
      </c>
      <c r="E53" t="s">
        <v>0</v>
      </c>
      <c r="F53" t="s">
        <v>1</v>
      </c>
      <c r="G53" t="s">
        <v>305</v>
      </c>
      <c r="H53" t="s">
        <v>306</v>
      </c>
      <c r="J53" s="3" t="s">
        <v>4</v>
      </c>
      <c r="K53" s="2">
        <v>44722</v>
      </c>
      <c r="L53" s="4">
        <v>20000</v>
      </c>
      <c r="M53" t="s">
        <v>5</v>
      </c>
      <c r="N53" s="4">
        <v>20000</v>
      </c>
      <c r="O53" t="s">
        <v>307</v>
      </c>
      <c r="P53" s="4">
        <v>18150</v>
      </c>
      <c r="Q53" s="5">
        <v>20</v>
      </c>
      <c r="R53" t="s">
        <v>308</v>
      </c>
      <c r="S53" t="s">
        <v>309</v>
      </c>
      <c r="T53" t="s">
        <v>4</v>
      </c>
      <c r="U53" t="s">
        <v>310</v>
      </c>
      <c r="V53" s="2">
        <v>44743</v>
      </c>
      <c r="W53" t="s">
        <v>10</v>
      </c>
    </row>
    <row r="54" spans="1:23" ht="14.1" customHeight="1" outlineLevel="2" x14ac:dyDescent="0.25">
      <c r="A54" t="str">
        <f t="shared" si="0"/>
        <v>9990005568TP-link Tecnologia do Brasil LTDA1376</v>
      </c>
      <c r="B54" t="s">
        <v>1999</v>
      </c>
      <c r="C54">
        <v>9990005568</v>
      </c>
      <c r="D54" s="2">
        <v>44550</v>
      </c>
      <c r="E54" t="s">
        <v>0</v>
      </c>
      <c r="F54" t="s">
        <v>1</v>
      </c>
      <c r="G54" t="s">
        <v>311</v>
      </c>
      <c r="H54" t="s">
        <v>312</v>
      </c>
      <c r="J54" s="3" t="s">
        <v>4</v>
      </c>
      <c r="K54" s="2">
        <v>44580</v>
      </c>
      <c r="L54" s="4">
        <v>1376</v>
      </c>
      <c r="M54" t="s">
        <v>5</v>
      </c>
      <c r="N54" s="4">
        <v>1376</v>
      </c>
      <c r="O54" t="s">
        <v>313</v>
      </c>
      <c r="P54" s="4">
        <v>1248.72</v>
      </c>
      <c r="Q54" s="5">
        <v>162</v>
      </c>
      <c r="R54" t="s">
        <v>314</v>
      </c>
      <c r="S54" t="s">
        <v>315</v>
      </c>
      <c r="T54" t="s">
        <v>26</v>
      </c>
      <c r="U54" t="s">
        <v>316</v>
      </c>
      <c r="V54" s="2">
        <v>44743</v>
      </c>
      <c r="W54" t="s">
        <v>10</v>
      </c>
    </row>
    <row r="55" spans="1:23" ht="14.1" customHeight="1" outlineLevel="2" x14ac:dyDescent="0.25">
      <c r="A55" t="str">
        <f t="shared" si="0"/>
        <v>9990005570Kimberly Clark Brasil Ind. e Com4912</v>
      </c>
      <c r="B55" t="s">
        <v>2000</v>
      </c>
      <c r="C55">
        <v>9990005570</v>
      </c>
      <c r="D55" s="2">
        <v>44692</v>
      </c>
      <c r="E55" t="s">
        <v>0</v>
      </c>
      <c r="F55" t="s">
        <v>1</v>
      </c>
      <c r="G55" t="s">
        <v>317</v>
      </c>
      <c r="H55" t="s">
        <v>318</v>
      </c>
      <c r="J55" s="3" t="s">
        <v>4</v>
      </c>
      <c r="K55" s="2">
        <v>44722</v>
      </c>
      <c r="L55" s="4">
        <v>4912</v>
      </c>
      <c r="M55" t="s">
        <v>5</v>
      </c>
      <c r="N55" s="4">
        <v>4912</v>
      </c>
      <c r="O55" t="s">
        <v>319</v>
      </c>
      <c r="P55" s="4">
        <v>4457.6400000000003</v>
      </c>
      <c r="Q55" s="5">
        <v>20</v>
      </c>
      <c r="R55" t="s">
        <v>320</v>
      </c>
      <c r="S55" t="s">
        <v>321</v>
      </c>
      <c r="T55" t="s">
        <v>322</v>
      </c>
      <c r="U55" t="s">
        <v>323</v>
      </c>
      <c r="V55" s="2">
        <v>44743</v>
      </c>
      <c r="W55" t="s">
        <v>10</v>
      </c>
    </row>
    <row r="56" spans="1:23" ht="14.1" customHeight="1" outlineLevel="2" x14ac:dyDescent="0.25">
      <c r="A56" t="str">
        <f t="shared" si="0"/>
        <v>9990005570Kimberly Clark Brasil Ind. e Com129959,46</v>
      </c>
      <c r="B56" t="s">
        <v>2001</v>
      </c>
      <c r="C56">
        <v>9990005570</v>
      </c>
      <c r="D56" s="2">
        <v>44571</v>
      </c>
      <c r="E56" t="s">
        <v>0</v>
      </c>
      <c r="F56" t="s">
        <v>1</v>
      </c>
      <c r="G56" t="s">
        <v>324</v>
      </c>
      <c r="H56" t="s">
        <v>318</v>
      </c>
      <c r="J56" s="3" t="s">
        <v>4</v>
      </c>
      <c r="K56" s="2">
        <v>44601</v>
      </c>
      <c r="L56" s="4">
        <v>129959.46</v>
      </c>
      <c r="M56" t="s">
        <v>5</v>
      </c>
      <c r="N56" s="4">
        <v>129959.46</v>
      </c>
      <c r="O56" t="s">
        <v>325</v>
      </c>
      <c r="P56" s="4">
        <v>117938.21</v>
      </c>
      <c r="Q56" s="5">
        <v>141</v>
      </c>
      <c r="R56" t="s">
        <v>326</v>
      </c>
      <c r="S56" t="s">
        <v>327</v>
      </c>
      <c r="T56" t="s">
        <v>223</v>
      </c>
      <c r="U56" t="s">
        <v>328</v>
      </c>
      <c r="V56" s="2">
        <v>44743</v>
      </c>
      <c r="W56" t="s">
        <v>10</v>
      </c>
    </row>
    <row r="57" spans="1:23" ht="14.1" customHeight="1" outlineLevel="2" x14ac:dyDescent="0.25">
      <c r="A57" t="str">
        <f t="shared" si="0"/>
        <v>9990005570Kimberly Clark Brasil Ind. e Com2693</v>
      </c>
      <c r="B57" t="s">
        <v>2002</v>
      </c>
      <c r="C57">
        <v>9990005570</v>
      </c>
      <c r="D57" s="2">
        <v>44692</v>
      </c>
      <c r="E57" t="s">
        <v>0</v>
      </c>
      <c r="F57" t="s">
        <v>1</v>
      </c>
      <c r="G57" t="s">
        <v>329</v>
      </c>
      <c r="H57" t="s">
        <v>318</v>
      </c>
      <c r="J57" s="3" t="s">
        <v>4</v>
      </c>
      <c r="K57" s="2">
        <v>44722</v>
      </c>
      <c r="L57" s="4">
        <v>2693</v>
      </c>
      <c r="M57" t="s">
        <v>5</v>
      </c>
      <c r="N57" s="4">
        <v>2693</v>
      </c>
      <c r="O57" t="s">
        <v>330</v>
      </c>
      <c r="P57" s="4">
        <v>2443.9</v>
      </c>
      <c r="Q57" s="5">
        <v>20</v>
      </c>
      <c r="R57" t="s">
        <v>331</v>
      </c>
      <c r="S57" t="s">
        <v>332</v>
      </c>
      <c r="T57" t="s">
        <v>322</v>
      </c>
      <c r="U57" t="s">
        <v>333</v>
      </c>
      <c r="V57" s="2">
        <v>44743</v>
      </c>
      <c r="W57" t="s">
        <v>10</v>
      </c>
    </row>
    <row r="58" spans="1:23" ht="14.1" customHeight="1" outlineLevel="2" x14ac:dyDescent="0.25">
      <c r="A58" t="str">
        <f t="shared" si="0"/>
        <v>9990005570Kimberly Clark Brasil Ind. e Com227</v>
      </c>
      <c r="B58" t="s">
        <v>2003</v>
      </c>
      <c r="C58">
        <v>9990005570</v>
      </c>
      <c r="D58" s="2">
        <v>44692</v>
      </c>
      <c r="E58" t="s">
        <v>0</v>
      </c>
      <c r="F58" t="s">
        <v>1</v>
      </c>
      <c r="G58" t="s">
        <v>334</v>
      </c>
      <c r="H58" t="s">
        <v>318</v>
      </c>
      <c r="J58" s="3" t="s">
        <v>4</v>
      </c>
      <c r="K58" s="2">
        <v>44722</v>
      </c>
      <c r="L58" s="4">
        <v>227</v>
      </c>
      <c r="M58" t="s">
        <v>5</v>
      </c>
      <c r="N58" s="4">
        <v>227</v>
      </c>
      <c r="O58" t="s">
        <v>335</v>
      </c>
      <c r="P58" s="4">
        <v>206</v>
      </c>
      <c r="Q58" s="5">
        <v>20</v>
      </c>
      <c r="R58" t="s">
        <v>336</v>
      </c>
      <c r="S58" t="s">
        <v>337</v>
      </c>
      <c r="T58" t="s">
        <v>322</v>
      </c>
      <c r="U58" t="s">
        <v>338</v>
      </c>
      <c r="V58" s="2">
        <v>44743</v>
      </c>
      <c r="W58" t="s">
        <v>10</v>
      </c>
    </row>
    <row r="59" spans="1:23" ht="14.1" customHeight="1" outlineLevel="2" x14ac:dyDescent="0.25">
      <c r="A59" t="str">
        <f t="shared" si="0"/>
        <v>9990005570Kimberly Clark Brasil Ind. e Com50000</v>
      </c>
      <c r="B59" t="s">
        <v>2004</v>
      </c>
      <c r="C59">
        <v>9990005570</v>
      </c>
      <c r="D59" s="2">
        <v>44540</v>
      </c>
      <c r="E59" t="s">
        <v>0</v>
      </c>
      <c r="F59" t="s">
        <v>1</v>
      </c>
      <c r="G59" t="s">
        <v>339</v>
      </c>
      <c r="H59" t="s">
        <v>318</v>
      </c>
      <c r="J59" s="3" t="s">
        <v>4</v>
      </c>
      <c r="K59" s="2">
        <v>44570</v>
      </c>
      <c r="L59" s="4">
        <v>50000</v>
      </c>
      <c r="M59" t="s">
        <v>5</v>
      </c>
      <c r="N59" s="4">
        <v>50000</v>
      </c>
      <c r="O59" t="s">
        <v>340</v>
      </c>
      <c r="P59" s="4">
        <v>45375</v>
      </c>
      <c r="Q59" s="5">
        <v>172</v>
      </c>
      <c r="R59" t="s">
        <v>341</v>
      </c>
      <c r="S59" t="s">
        <v>342</v>
      </c>
      <c r="T59" t="s">
        <v>223</v>
      </c>
      <c r="U59" t="s">
        <v>343</v>
      </c>
      <c r="V59" s="2">
        <v>44743</v>
      </c>
      <c r="W59" t="s">
        <v>10</v>
      </c>
    </row>
    <row r="60" spans="1:23" ht="14.1" customHeight="1" outlineLevel="2" x14ac:dyDescent="0.25">
      <c r="A60" t="str">
        <f t="shared" si="0"/>
        <v>9990005570Kimberly Clark Brasil Ind. e Com1426,77</v>
      </c>
      <c r="B60" t="s">
        <v>2005</v>
      </c>
      <c r="C60">
        <v>9990005570</v>
      </c>
      <c r="D60" s="2">
        <v>44663</v>
      </c>
      <c r="E60" t="s">
        <v>0</v>
      </c>
      <c r="F60" t="s">
        <v>1</v>
      </c>
      <c r="G60" t="s">
        <v>344</v>
      </c>
      <c r="H60" t="s">
        <v>318</v>
      </c>
      <c r="J60" s="3" t="s">
        <v>4</v>
      </c>
      <c r="K60" s="2">
        <v>44693</v>
      </c>
      <c r="L60" s="4">
        <v>1426.77</v>
      </c>
      <c r="M60" t="s">
        <v>5</v>
      </c>
      <c r="N60" s="4">
        <v>1426.77</v>
      </c>
      <c r="O60" t="s">
        <v>345</v>
      </c>
      <c r="P60" s="4">
        <v>1294.8</v>
      </c>
      <c r="Q60" s="5">
        <v>49</v>
      </c>
      <c r="R60" t="s">
        <v>346</v>
      </c>
      <c r="S60" t="s">
        <v>347</v>
      </c>
      <c r="T60" t="s">
        <v>348</v>
      </c>
      <c r="U60" t="s">
        <v>349</v>
      </c>
      <c r="V60" s="2">
        <v>44743</v>
      </c>
      <c r="W60" t="s">
        <v>10</v>
      </c>
    </row>
    <row r="61" spans="1:23" ht="14.1" customHeight="1" outlineLevel="2" x14ac:dyDescent="0.25">
      <c r="A61" t="str">
        <f t="shared" si="0"/>
        <v>9990005584HNK BR INDUSTRIA DE BEBIDAS LTDA.-0,3</v>
      </c>
      <c r="B61" t="s">
        <v>2006</v>
      </c>
      <c r="C61">
        <v>9990005584</v>
      </c>
      <c r="D61" s="2">
        <v>44526</v>
      </c>
      <c r="E61" t="s">
        <v>4</v>
      </c>
      <c r="F61" t="s">
        <v>134</v>
      </c>
      <c r="G61" t="s">
        <v>350</v>
      </c>
      <c r="H61" t="s">
        <v>351</v>
      </c>
      <c r="J61" s="3" t="s">
        <v>4</v>
      </c>
      <c r="K61" s="2">
        <v>44522</v>
      </c>
      <c r="L61" s="4">
        <v>-0.3</v>
      </c>
      <c r="M61" t="s">
        <v>5</v>
      </c>
      <c r="N61" s="4">
        <v>-0.3</v>
      </c>
      <c r="O61" t="s">
        <v>4</v>
      </c>
      <c r="P61" s="4">
        <v>0</v>
      </c>
      <c r="Q61" s="5">
        <v>220</v>
      </c>
      <c r="R61" t="s">
        <v>4</v>
      </c>
      <c r="S61" t="s">
        <v>4</v>
      </c>
      <c r="T61" t="s">
        <v>4</v>
      </c>
      <c r="U61" t="s">
        <v>352</v>
      </c>
      <c r="V61" s="2">
        <v>44743</v>
      </c>
      <c r="W61" t="s">
        <v>10</v>
      </c>
    </row>
    <row r="62" spans="1:23" ht="14.1" customHeight="1" outlineLevel="2" x14ac:dyDescent="0.25">
      <c r="A62" t="str">
        <f t="shared" si="0"/>
        <v>9990005587DANONE LTDA35998,72</v>
      </c>
      <c r="B62" t="s">
        <v>2007</v>
      </c>
      <c r="C62">
        <v>9990005587</v>
      </c>
      <c r="D62" s="2">
        <v>44602</v>
      </c>
      <c r="E62" t="s">
        <v>0</v>
      </c>
      <c r="F62" t="s">
        <v>1</v>
      </c>
      <c r="G62" t="s">
        <v>353</v>
      </c>
      <c r="H62" t="s">
        <v>354</v>
      </c>
      <c r="J62" s="3" t="s">
        <v>4</v>
      </c>
      <c r="K62" s="2">
        <v>44632</v>
      </c>
      <c r="L62" s="4">
        <v>35998.720000000001</v>
      </c>
      <c r="M62" t="s">
        <v>5</v>
      </c>
      <c r="N62" s="4">
        <v>35998.720000000001</v>
      </c>
      <c r="O62" t="s">
        <v>355</v>
      </c>
      <c r="P62" s="4">
        <v>32668.84</v>
      </c>
      <c r="Q62" s="5">
        <v>110</v>
      </c>
      <c r="R62" t="s">
        <v>356</v>
      </c>
      <c r="S62" t="s">
        <v>357</v>
      </c>
      <c r="T62" t="s">
        <v>4</v>
      </c>
      <c r="U62" t="s">
        <v>358</v>
      </c>
      <c r="V62" s="2">
        <v>44743</v>
      </c>
      <c r="W62" t="s">
        <v>10</v>
      </c>
    </row>
    <row r="63" spans="1:23" ht="14.1" customHeight="1" outlineLevel="2" x14ac:dyDescent="0.25">
      <c r="A63" t="str">
        <f t="shared" si="0"/>
        <v>9990005587DANONE LTDA-4668</v>
      </c>
      <c r="B63" t="s">
        <v>2008</v>
      </c>
      <c r="C63">
        <v>9990005587</v>
      </c>
      <c r="D63" s="2">
        <v>44740</v>
      </c>
      <c r="E63" t="s">
        <v>4</v>
      </c>
      <c r="F63" t="s">
        <v>12</v>
      </c>
      <c r="G63" t="s">
        <v>359</v>
      </c>
      <c r="H63" t="s">
        <v>354</v>
      </c>
      <c r="J63" s="3" t="s">
        <v>4</v>
      </c>
      <c r="K63" s="2">
        <v>44740</v>
      </c>
      <c r="L63" s="4">
        <v>-4668</v>
      </c>
      <c r="M63" t="s">
        <v>5</v>
      </c>
      <c r="N63" s="4">
        <v>-4668</v>
      </c>
      <c r="O63" t="s">
        <v>4</v>
      </c>
      <c r="P63" s="4">
        <v>0</v>
      </c>
      <c r="Q63" s="5">
        <v>2</v>
      </c>
      <c r="R63" t="s">
        <v>4</v>
      </c>
      <c r="S63" t="s">
        <v>4</v>
      </c>
      <c r="T63" t="s">
        <v>360</v>
      </c>
      <c r="U63" t="s">
        <v>361</v>
      </c>
      <c r="V63" s="2">
        <v>44743</v>
      </c>
      <c r="W63" t="s">
        <v>10</v>
      </c>
    </row>
    <row r="64" spans="1:23" ht="14.1" customHeight="1" outlineLevel="2" x14ac:dyDescent="0.25">
      <c r="A64" t="str">
        <f t="shared" si="0"/>
        <v>9990005640BDF NIVEA LTDA182083,71</v>
      </c>
      <c r="B64" t="s">
        <v>2009</v>
      </c>
      <c r="C64">
        <v>9990005640</v>
      </c>
      <c r="D64" s="2">
        <v>44663</v>
      </c>
      <c r="E64" t="s">
        <v>0</v>
      </c>
      <c r="F64" t="s">
        <v>1</v>
      </c>
      <c r="G64" t="s">
        <v>362</v>
      </c>
      <c r="H64" t="s">
        <v>363</v>
      </c>
      <c r="J64" s="3" t="s">
        <v>4</v>
      </c>
      <c r="K64" s="2">
        <v>44723</v>
      </c>
      <c r="L64" s="4">
        <v>182083.71</v>
      </c>
      <c r="M64" t="s">
        <v>5</v>
      </c>
      <c r="N64" s="4">
        <v>182083.71</v>
      </c>
      <c r="O64" t="s">
        <v>364</v>
      </c>
      <c r="P64" s="4">
        <v>165240.97</v>
      </c>
      <c r="Q64" s="5">
        <v>19</v>
      </c>
      <c r="R64" t="s">
        <v>365</v>
      </c>
      <c r="S64" t="s">
        <v>366</v>
      </c>
      <c r="T64" t="s">
        <v>367</v>
      </c>
      <c r="U64" t="s">
        <v>368</v>
      </c>
      <c r="V64" s="2">
        <v>44743</v>
      </c>
      <c r="W64" t="s">
        <v>10</v>
      </c>
    </row>
    <row r="65" spans="1:23" ht="14.1" customHeight="1" outlineLevel="2" x14ac:dyDescent="0.25">
      <c r="A65" t="str">
        <f t="shared" si="0"/>
        <v>9990005640BDF NIVEA LTDA140034,66</v>
      </c>
      <c r="B65" t="s">
        <v>2010</v>
      </c>
      <c r="C65">
        <v>9990005640</v>
      </c>
      <c r="D65" s="2">
        <v>44663</v>
      </c>
      <c r="E65" t="s">
        <v>0</v>
      </c>
      <c r="F65" t="s">
        <v>1</v>
      </c>
      <c r="G65" t="s">
        <v>369</v>
      </c>
      <c r="H65" t="s">
        <v>363</v>
      </c>
      <c r="J65" s="3" t="s">
        <v>4</v>
      </c>
      <c r="K65" s="2">
        <v>44723</v>
      </c>
      <c r="L65" s="4">
        <v>140034.66</v>
      </c>
      <c r="M65" t="s">
        <v>5</v>
      </c>
      <c r="N65" s="4">
        <v>140034.66</v>
      </c>
      <c r="O65" t="s">
        <v>370</v>
      </c>
      <c r="P65" s="4">
        <v>127081.46</v>
      </c>
      <c r="Q65" s="5">
        <v>19</v>
      </c>
      <c r="R65" t="s">
        <v>371</v>
      </c>
      <c r="S65" t="s">
        <v>372</v>
      </c>
      <c r="T65" t="s">
        <v>373</v>
      </c>
      <c r="U65" t="s">
        <v>374</v>
      </c>
      <c r="V65" s="2">
        <v>44743</v>
      </c>
      <c r="W65" t="s">
        <v>10</v>
      </c>
    </row>
    <row r="66" spans="1:23" ht="14.1" customHeight="1" outlineLevel="2" x14ac:dyDescent="0.25">
      <c r="A66" t="str">
        <f t="shared" si="0"/>
        <v>9990005686NESTLE BRASIL TDA544999,97</v>
      </c>
      <c r="B66" t="s">
        <v>2011</v>
      </c>
      <c r="C66">
        <v>9990005686</v>
      </c>
      <c r="D66" s="2">
        <v>44546</v>
      </c>
      <c r="E66" t="s">
        <v>0</v>
      </c>
      <c r="F66" t="s">
        <v>1</v>
      </c>
      <c r="G66" t="s">
        <v>375</v>
      </c>
      <c r="H66" t="s">
        <v>376</v>
      </c>
      <c r="J66" s="3" t="s">
        <v>4</v>
      </c>
      <c r="K66" s="2">
        <v>44658</v>
      </c>
      <c r="L66" s="4">
        <v>544999.97</v>
      </c>
      <c r="M66" t="s">
        <v>5</v>
      </c>
      <c r="N66" s="4">
        <v>544999.97</v>
      </c>
      <c r="O66" t="s">
        <v>377</v>
      </c>
      <c r="P66" s="4">
        <v>494587.47</v>
      </c>
      <c r="Q66" s="5">
        <v>84</v>
      </c>
      <c r="R66" t="s">
        <v>378</v>
      </c>
      <c r="S66" t="s">
        <v>379</v>
      </c>
      <c r="T66" t="s">
        <v>4</v>
      </c>
      <c r="U66" t="s">
        <v>380</v>
      </c>
      <c r="V66" s="2">
        <v>44743</v>
      </c>
      <c r="W66" t="s">
        <v>10</v>
      </c>
    </row>
    <row r="67" spans="1:23" ht="14.1" customHeight="1" outlineLevel="2" x14ac:dyDescent="0.25">
      <c r="A67" t="str">
        <f t="shared" ref="A67:A130" si="1">+C67&amp;H67&amp;L67</f>
        <v>9990005686NESTLE BRASIL TDA-66000</v>
      </c>
      <c r="B67" t="s">
        <v>2012</v>
      </c>
      <c r="C67">
        <v>9990005686</v>
      </c>
      <c r="D67" s="2">
        <v>44700</v>
      </c>
      <c r="E67" t="s">
        <v>4</v>
      </c>
      <c r="F67" t="s">
        <v>12</v>
      </c>
      <c r="G67" t="s">
        <v>381</v>
      </c>
      <c r="H67" t="s">
        <v>376</v>
      </c>
      <c r="J67" s="3" t="s">
        <v>4</v>
      </c>
      <c r="K67" s="2">
        <v>44700</v>
      </c>
      <c r="L67" s="4">
        <v>-66000</v>
      </c>
      <c r="M67" t="s">
        <v>5</v>
      </c>
      <c r="N67" s="4">
        <v>-66000</v>
      </c>
      <c r="O67" t="s">
        <v>4</v>
      </c>
      <c r="P67" s="4">
        <v>0</v>
      </c>
      <c r="Q67" s="5">
        <v>42</v>
      </c>
      <c r="R67" t="s">
        <v>4</v>
      </c>
      <c r="S67" t="s">
        <v>4</v>
      </c>
      <c r="T67" t="s">
        <v>382</v>
      </c>
      <c r="U67" t="s">
        <v>383</v>
      </c>
      <c r="V67" s="2">
        <v>44743</v>
      </c>
      <c r="W67" t="s">
        <v>10</v>
      </c>
    </row>
    <row r="68" spans="1:23" ht="14.1" customHeight="1" outlineLevel="2" x14ac:dyDescent="0.25">
      <c r="A68" t="str">
        <f t="shared" si="1"/>
        <v>9990005686NESTLE BRASIL TDA44</v>
      </c>
      <c r="B68" t="s">
        <v>2013</v>
      </c>
      <c r="C68">
        <v>9990005686</v>
      </c>
      <c r="D68" s="2">
        <v>44692</v>
      </c>
      <c r="E68" t="s">
        <v>0</v>
      </c>
      <c r="F68" t="s">
        <v>1</v>
      </c>
      <c r="G68" t="s">
        <v>384</v>
      </c>
      <c r="H68" t="s">
        <v>376</v>
      </c>
      <c r="J68" s="3" t="s">
        <v>4</v>
      </c>
      <c r="K68" s="2">
        <v>44722</v>
      </c>
      <c r="L68" s="4">
        <v>44</v>
      </c>
      <c r="M68" t="s">
        <v>5</v>
      </c>
      <c r="N68" s="4">
        <v>44</v>
      </c>
      <c r="O68" t="s">
        <v>385</v>
      </c>
      <c r="P68" s="4">
        <v>39.93</v>
      </c>
      <c r="Q68" s="5">
        <v>20</v>
      </c>
      <c r="R68" t="s">
        <v>386</v>
      </c>
      <c r="S68" t="s">
        <v>387</v>
      </c>
      <c r="T68" t="s">
        <v>4</v>
      </c>
      <c r="U68" t="s">
        <v>388</v>
      </c>
      <c r="V68" s="2">
        <v>44743</v>
      </c>
      <c r="W68" t="s">
        <v>10</v>
      </c>
    </row>
    <row r="69" spans="1:23" ht="14.1" customHeight="1" outlineLevel="2" x14ac:dyDescent="0.25">
      <c r="A69" t="str">
        <f t="shared" si="1"/>
        <v>9990005686NESTLE BRASIL TDA26000</v>
      </c>
      <c r="B69" t="s">
        <v>2014</v>
      </c>
      <c r="C69">
        <v>9990005686</v>
      </c>
      <c r="D69" s="2">
        <v>44602</v>
      </c>
      <c r="E69" t="s">
        <v>0</v>
      </c>
      <c r="F69" t="s">
        <v>1</v>
      </c>
      <c r="G69" t="s">
        <v>389</v>
      </c>
      <c r="H69" t="s">
        <v>376</v>
      </c>
      <c r="J69" s="3" t="s">
        <v>4</v>
      </c>
      <c r="K69" s="2">
        <v>44662</v>
      </c>
      <c r="L69" s="4">
        <v>26000</v>
      </c>
      <c r="M69" t="s">
        <v>5</v>
      </c>
      <c r="N69" s="4">
        <v>26000</v>
      </c>
      <c r="O69" t="s">
        <v>390</v>
      </c>
      <c r="P69" s="4">
        <v>23595</v>
      </c>
      <c r="Q69" s="5">
        <v>80</v>
      </c>
      <c r="R69" t="s">
        <v>391</v>
      </c>
      <c r="S69" t="s">
        <v>392</v>
      </c>
      <c r="T69" t="s">
        <v>393</v>
      </c>
      <c r="U69" t="s">
        <v>394</v>
      </c>
      <c r="V69" s="2">
        <v>44743</v>
      </c>
      <c r="W69" t="s">
        <v>10</v>
      </c>
    </row>
    <row r="70" spans="1:23" ht="14.1" customHeight="1" outlineLevel="2" x14ac:dyDescent="0.25">
      <c r="A70" t="str">
        <f t="shared" si="1"/>
        <v>9990005686NESTLE BRASIL TDA247000</v>
      </c>
      <c r="B70" t="s">
        <v>2015</v>
      </c>
      <c r="C70">
        <v>9990005686</v>
      </c>
      <c r="D70" s="2">
        <v>44582</v>
      </c>
      <c r="E70" t="s">
        <v>0</v>
      </c>
      <c r="F70" t="s">
        <v>1</v>
      </c>
      <c r="G70" t="s">
        <v>395</v>
      </c>
      <c r="H70" t="s">
        <v>376</v>
      </c>
      <c r="J70" s="3" t="s">
        <v>4</v>
      </c>
      <c r="K70" s="2">
        <v>44659</v>
      </c>
      <c r="L70" s="4">
        <v>247000</v>
      </c>
      <c r="M70" t="s">
        <v>5</v>
      </c>
      <c r="N70" s="4">
        <v>247000</v>
      </c>
      <c r="O70" t="s">
        <v>396</v>
      </c>
      <c r="P70" s="4">
        <v>224152.5</v>
      </c>
      <c r="Q70" s="5">
        <v>83</v>
      </c>
      <c r="R70" t="s">
        <v>397</v>
      </c>
      <c r="S70" t="s">
        <v>398</v>
      </c>
      <c r="T70" t="s">
        <v>4</v>
      </c>
      <c r="U70" t="s">
        <v>399</v>
      </c>
      <c r="V70" s="2">
        <v>44743</v>
      </c>
      <c r="W70" t="s">
        <v>10</v>
      </c>
    </row>
    <row r="71" spans="1:23" ht="14.1" customHeight="1" outlineLevel="2" x14ac:dyDescent="0.25">
      <c r="A71" t="str">
        <f t="shared" si="1"/>
        <v>9990005686NESTLE BRASIL TDA80000</v>
      </c>
      <c r="B71" t="s">
        <v>2016</v>
      </c>
      <c r="C71">
        <v>9990005686</v>
      </c>
      <c r="D71" s="2">
        <v>44571</v>
      </c>
      <c r="E71" t="s">
        <v>0</v>
      </c>
      <c r="F71" t="s">
        <v>1</v>
      </c>
      <c r="G71" t="s">
        <v>400</v>
      </c>
      <c r="H71" t="s">
        <v>376</v>
      </c>
      <c r="J71" s="3" t="s">
        <v>4</v>
      </c>
      <c r="K71" s="2">
        <v>44659</v>
      </c>
      <c r="L71" s="4">
        <v>80000</v>
      </c>
      <c r="M71" t="s">
        <v>5</v>
      </c>
      <c r="N71" s="4">
        <v>80000</v>
      </c>
      <c r="O71" t="s">
        <v>401</v>
      </c>
      <c r="P71" s="4">
        <v>72600</v>
      </c>
      <c r="Q71" s="5">
        <v>83</v>
      </c>
      <c r="R71" t="s">
        <v>402</v>
      </c>
      <c r="S71" t="s">
        <v>403</v>
      </c>
      <c r="T71" t="s">
        <v>4</v>
      </c>
      <c r="U71" t="s">
        <v>404</v>
      </c>
      <c r="V71" s="2">
        <v>44743</v>
      </c>
      <c r="W71" t="s">
        <v>10</v>
      </c>
    </row>
    <row r="72" spans="1:23" ht="14.1" customHeight="1" outlineLevel="2" x14ac:dyDescent="0.25">
      <c r="A72" t="str">
        <f t="shared" si="1"/>
        <v>9990005686NESTLE BRASIL TDA30128,99</v>
      </c>
      <c r="B72" t="s">
        <v>2017</v>
      </c>
      <c r="C72">
        <v>9990005686</v>
      </c>
      <c r="D72" s="2">
        <v>44510</v>
      </c>
      <c r="E72" t="s">
        <v>0</v>
      </c>
      <c r="F72" t="s">
        <v>1</v>
      </c>
      <c r="G72" t="s">
        <v>405</v>
      </c>
      <c r="H72" t="s">
        <v>376</v>
      </c>
      <c r="J72" s="3" t="s">
        <v>4</v>
      </c>
      <c r="K72" s="2">
        <v>44659</v>
      </c>
      <c r="L72" s="4">
        <v>30128.99</v>
      </c>
      <c r="M72" t="s">
        <v>5</v>
      </c>
      <c r="N72" s="4">
        <v>30128.99</v>
      </c>
      <c r="O72" t="s">
        <v>406</v>
      </c>
      <c r="P72" s="4">
        <v>27342.06</v>
      </c>
      <c r="Q72" s="5">
        <v>83</v>
      </c>
      <c r="R72" t="s">
        <v>407</v>
      </c>
      <c r="S72" t="s">
        <v>408</v>
      </c>
      <c r="T72" t="s">
        <v>409</v>
      </c>
      <c r="U72" t="s">
        <v>410</v>
      </c>
      <c r="V72" s="2">
        <v>44743</v>
      </c>
      <c r="W72" t="s">
        <v>10</v>
      </c>
    </row>
    <row r="73" spans="1:23" ht="14.1" customHeight="1" outlineLevel="2" x14ac:dyDescent="0.25">
      <c r="A73" t="str">
        <f t="shared" si="1"/>
        <v>9990005686NESTLE BRASIL TDA16385,69</v>
      </c>
      <c r="B73" t="s">
        <v>2018</v>
      </c>
      <c r="C73">
        <v>9990005686</v>
      </c>
      <c r="D73" s="2">
        <v>44692</v>
      </c>
      <c r="E73" t="s">
        <v>0</v>
      </c>
      <c r="F73" t="s">
        <v>1</v>
      </c>
      <c r="G73" t="s">
        <v>411</v>
      </c>
      <c r="H73" t="s">
        <v>376</v>
      </c>
      <c r="J73" s="3" t="s">
        <v>4</v>
      </c>
      <c r="K73" s="2">
        <v>44722</v>
      </c>
      <c r="L73" s="4">
        <v>16385.689999999999</v>
      </c>
      <c r="M73" t="s">
        <v>5</v>
      </c>
      <c r="N73" s="4">
        <v>16385.689999999999</v>
      </c>
      <c r="O73" t="s">
        <v>412</v>
      </c>
      <c r="P73" s="4">
        <v>14870</v>
      </c>
      <c r="Q73" s="5">
        <v>20</v>
      </c>
      <c r="R73" t="s">
        <v>413</v>
      </c>
      <c r="S73" t="s">
        <v>414</v>
      </c>
      <c r="T73" t="s">
        <v>415</v>
      </c>
      <c r="U73" t="s">
        <v>416</v>
      </c>
      <c r="V73" s="2">
        <v>44743</v>
      </c>
      <c r="W73" t="s">
        <v>10</v>
      </c>
    </row>
    <row r="74" spans="1:23" ht="14.1" customHeight="1" outlineLevel="2" x14ac:dyDescent="0.25">
      <c r="A74" t="s">
        <v>2019</v>
      </c>
      <c r="B74" t="s">
        <v>2019</v>
      </c>
      <c r="C74">
        <v>9990005686</v>
      </c>
      <c r="D74" s="2">
        <v>44706</v>
      </c>
      <c r="E74" t="s">
        <v>4</v>
      </c>
      <c r="F74" t="s">
        <v>12</v>
      </c>
      <c r="G74" t="s">
        <v>417</v>
      </c>
      <c r="H74" t="s">
        <v>376</v>
      </c>
      <c r="J74" s="3" t="s">
        <v>4</v>
      </c>
      <c r="K74" s="2">
        <v>44706</v>
      </c>
      <c r="L74" s="4">
        <v>-233875.7</v>
      </c>
      <c r="M74" t="s">
        <v>5</v>
      </c>
      <c r="N74" s="4">
        <v>-233875.7</v>
      </c>
      <c r="O74" t="s">
        <v>4</v>
      </c>
      <c r="P74" s="4">
        <v>0</v>
      </c>
      <c r="Q74" s="5">
        <v>36</v>
      </c>
      <c r="R74" t="s">
        <v>4</v>
      </c>
      <c r="S74" t="s">
        <v>4</v>
      </c>
      <c r="T74" t="s">
        <v>418</v>
      </c>
      <c r="U74" t="s">
        <v>419</v>
      </c>
      <c r="V74" s="2">
        <v>44743</v>
      </c>
      <c r="W74" t="s">
        <v>10</v>
      </c>
    </row>
    <row r="75" spans="1:23" ht="14.1" customHeight="1" outlineLevel="2" x14ac:dyDescent="0.25">
      <c r="A75" t="str">
        <f t="shared" si="1"/>
        <v>9990005686NESTLE BRASIL TDA10000</v>
      </c>
      <c r="B75" t="s">
        <v>2020</v>
      </c>
      <c r="C75">
        <v>9990005686</v>
      </c>
      <c r="D75" s="2">
        <v>44510</v>
      </c>
      <c r="E75" t="s">
        <v>0</v>
      </c>
      <c r="F75" t="s">
        <v>1</v>
      </c>
      <c r="G75" t="s">
        <v>420</v>
      </c>
      <c r="H75" t="s">
        <v>376</v>
      </c>
      <c r="J75" s="3" t="s">
        <v>4</v>
      </c>
      <c r="K75" s="2">
        <v>44659</v>
      </c>
      <c r="L75" s="4">
        <v>10000</v>
      </c>
      <c r="M75" t="s">
        <v>5</v>
      </c>
      <c r="N75" s="4">
        <v>10000</v>
      </c>
      <c r="O75" t="s">
        <v>421</v>
      </c>
      <c r="P75" s="4">
        <v>9075</v>
      </c>
      <c r="Q75" s="5">
        <v>83</v>
      </c>
      <c r="R75" t="s">
        <v>422</v>
      </c>
      <c r="S75" t="s">
        <v>423</v>
      </c>
      <c r="T75" t="s">
        <v>424</v>
      </c>
      <c r="U75" t="s">
        <v>425</v>
      </c>
      <c r="V75" s="2">
        <v>44743</v>
      </c>
      <c r="W75" t="s">
        <v>10</v>
      </c>
    </row>
    <row r="76" spans="1:23" ht="14.1" customHeight="1" outlineLevel="2" x14ac:dyDescent="0.25">
      <c r="A76" t="str">
        <f t="shared" si="1"/>
        <v>9990005686NESTLE BRASIL TDA10000</v>
      </c>
      <c r="B76" t="s">
        <v>2020</v>
      </c>
      <c r="C76">
        <v>9990005686</v>
      </c>
      <c r="D76" s="2">
        <v>44482</v>
      </c>
      <c r="E76" t="s">
        <v>0</v>
      </c>
      <c r="F76" t="s">
        <v>1</v>
      </c>
      <c r="G76" t="s">
        <v>426</v>
      </c>
      <c r="H76" t="s">
        <v>376</v>
      </c>
      <c r="J76" s="3" t="s">
        <v>4</v>
      </c>
      <c r="K76" s="2">
        <v>44659</v>
      </c>
      <c r="L76" s="4">
        <v>10000</v>
      </c>
      <c r="M76" t="s">
        <v>5</v>
      </c>
      <c r="N76" s="4">
        <v>10000</v>
      </c>
      <c r="O76" t="s">
        <v>427</v>
      </c>
      <c r="P76" s="4">
        <v>9075</v>
      </c>
      <c r="Q76" s="5">
        <v>83</v>
      </c>
      <c r="R76" t="s">
        <v>428</v>
      </c>
      <c r="S76" t="s">
        <v>429</v>
      </c>
      <c r="T76" t="s">
        <v>430</v>
      </c>
      <c r="U76" t="s">
        <v>431</v>
      </c>
      <c r="V76" s="2">
        <v>44743</v>
      </c>
      <c r="W76" t="s">
        <v>10</v>
      </c>
    </row>
    <row r="77" spans="1:23" ht="14.1" customHeight="1" outlineLevel="2" x14ac:dyDescent="0.25">
      <c r="A77" t="str">
        <f t="shared" si="1"/>
        <v>9990005686NESTLE BRASIL TDA47216,97</v>
      </c>
      <c r="B77" t="s">
        <v>2021</v>
      </c>
      <c r="C77">
        <v>9990005686</v>
      </c>
      <c r="D77" s="2">
        <v>44510</v>
      </c>
      <c r="E77" t="s">
        <v>0</v>
      </c>
      <c r="F77" t="s">
        <v>1</v>
      </c>
      <c r="G77" t="s">
        <v>432</v>
      </c>
      <c r="H77" t="s">
        <v>376</v>
      </c>
      <c r="J77" s="3" t="s">
        <v>4</v>
      </c>
      <c r="K77" s="2">
        <v>44659</v>
      </c>
      <c r="L77" s="4">
        <v>47216.97</v>
      </c>
      <c r="M77" t="s">
        <v>5</v>
      </c>
      <c r="N77" s="4">
        <v>47216.97</v>
      </c>
      <c r="O77" t="s">
        <v>433</v>
      </c>
      <c r="P77" s="4">
        <v>42849.4</v>
      </c>
      <c r="Q77" s="5">
        <v>83</v>
      </c>
      <c r="R77" t="s">
        <v>434</v>
      </c>
      <c r="S77" t="s">
        <v>435</v>
      </c>
      <c r="T77" t="s">
        <v>436</v>
      </c>
      <c r="U77" t="s">
        <v>437</v>
      </c>
      <c r="V77" s="2">
        <v>44743</v>
      </c>
      <c r="W77" t="s">
        <v>10</v>
      </c>
    </row>
    <row r="78" spans="1:23" ht="14.1" customHeight="1" outlineLevel="2" x14ac:dyDescent="0.25">
      <c r="A78" t="str">
        <f t="shared" si="1"/>
        <v>9990005686NESTLE BRASIL TDA7999,82</v>
      </c>
      <c r="B78" t="s">
        <v>2022</v>
      </c>
      <c r="C78">
        <v>9990005686</v>
      </c>
      <c r="D78" s="2">
        <v>44692</v>
      </c>
      <c r="E78" t="s">
        <v>0</v>
      </c>
      <c r="F78" t="s">
        <v>1</v>
      </c>
      <c r="G78" t="s">
        <v>438</v>
      </c>
      <c r="H78" t="s">
        <v>376</v>
      </c>
      <c r="J78" s="3" t="s">
        <v>4</v>
      </c>
      <c r="K78" s="2">
        <v>44722</v>
      </c>
      <c r="L78" s="4">
        <v>7999.82</v>
      </c>
      <c r="M78" t="s">
        <v>5</v>
      </c>
      <c r="N78" s="4">
        <v>7999.82</v>
      </c>
      <c r="O78" t="s">
        <v>439</v>
      </c>
      <c r="P78" s="4">
        <v>7259.84</v>
      </c>
      <c r="Q78" s="5">
        <v>20</v>
      </c>
      <c r="R78" t="s">
        <v>440</v>
      </c>
      <c r="S78" t="s">
        <v>441</v>
      </c>
      <c r="T78" t="s">
        <v>442</v>
      </c>
      <c r="U78" t="s">
        <v>443</v>
      </c>
      <c r="V78" s="2">
        <v>44743</v>
      </c>
      <c r="W78" t="s">
        <v>10</v>
      </c>
    </row>
    <row r="79" spans="1:23" ht="14.1" customHeight="1" outlineLevel="2" x14ac:dyDescent="0.25">
      <c r="A79" t="str">
        <f t="shared" si="1"/>
        <v>9990005771Sociedade Michelin de Participacoes-64397</v>
      </c>
      <c r="B79" t="s">
        <v>2023</v>
      </c>
      <c r="C79">
        <v>9990005771</v>
      </c>
      <c r="D79" s="2">
        <v>44641</v>
      </c>
      <c r="E79" t="s">
        <v>444</v>
      </c>
      <c r="F79" t="s">
        <v>12</v>
      </c>
      <c r="G79" t="s">
        <v>445</v>
      </c>
      <c r="H79" t="s">
        <v>446</v>
      </c>
      <c r="J79" s="3" t="s">
        <v>4</v>
      </c>
      <c r="K79" s="2">
        <v>44641</v>
      </c>
      <c r="L79" s="4">
        <v>-64397</v>
      </c>
      <c r="M79" t="s">
        <v>5</v>
      </c>
      <c r="N79" s="4">
        <v>-64397</v>
      </c>
      <c r="O79" t="s">
        <v>447</v>
      </c>
      <c r="P79" s="4">
        <v>58440.28</v>
      </c>
      <c r="Q79" s="5">
        <v>101</v>
      </c>
      <c r="R79" t="s">
        <v>448</v>
      </c>
      <c r="S79" t="s">
        <v>449</v>
      </c>
      <c r="T79" t="s">
        <v>450</v>
      </c>
      <c r="U79" t="s">
        <v>451</v>
      </c>
      <c r="V79" s="2">
        <v>44743</v>
      </c>
      <c r="W79" t="s">
        <v>10</v>
      </c>
    </row>
    <row r="80" spans="1:23" ht="14.1" customHeight="1" outlineLevel="2" x14ac:dyDescent="0.25">
      <c r="A80" t="str">
        <f t="shared" si="1"/>
        <v>9990005771Sociedade Michelin de Participacoes24640</v>
      </c>
      <c r="B80" t="s">
        <v>2024</v>
      </c>
      <c r="C80">
        <v>9990005771</v>
      </c>
      <c r="D80" s="2">
        <v>44692</v>
      </c>
      <c r="E80" t="s">
        <v>0</v>
      </c>
      <c r="F80" t="s">
        <v>1</v>
      </c>
      <c r="G80" t="s">
        <v>452</v>
      </c>
      <c r="H80" t="s">
        <v>446</v>
      </c>
      <c r="J80" s="3" t="s">
        <v>4</v>
      </c>
      <c r="K80" s="2">
        <v>44722</v>
      </c>
      <c r="L80" s="4">
        <v>24640</v>
      </c>
      <c r="M80" t="s">
        <v>5</v>
      </c>
      <c r="N80" s="4">
        <v>24640</v>
      </c>
      <c r="O80" t="s">
        <v>453</v>
      </c>
      <c r="P80" s="4">
        <v>22360.799999999999</v>
      </c>
      <c r="Q80" s="5">
        <v>20</v>
      </c>
      <c r="R80" t="s">
        <v>454</v>
      </c>
      <c r="S80" t="s">
        <v>455</v>
      </c>
      <c r="T80" t="s">
        <v>4</v>
      </c>
      <c r="U80" t="s">
        <v>456</v>
      </c>
      <c r="V80" s="2">
        <v>44743</v>
      </c>
      <c r="W80" t="s">
        <v>10</v>
      </c>
    </row>
    <row r="81" spans="1:23" ht="14.1" customHeight="1" outlineLevel="2" x14ac:dyDescent="0.25">
      <c r="A81" t="str">
        <f t="shared" si="1"/>
        <v>9990005771Sociedade Michelin de Participacoes75000</v>
      </c>
      <c r="B81" t="s">
        <v>2025</v>
      </c>
      <c r="C81">
        <v>9990005771</v>
      </c>
      <c r="D81" s="2">
        <v>44530</v>
      </c>
      <c r="E81" t="s">
        <v>0</v>
      </c>
      <c r="F81" t="s">
        <v>1</v>
      </c>
      <c r="G81" t="s">
        <v>457</v>
      </c>
      <c r="H81" t="s">
        <v>446</v>
      </c>
      <c r="J81" s="3" t="s">
        <v>4</v>
      </c>
      <c r="K81" s="2">
        <v>44560</v>
      </c>
      <c r="L81" s="4">
        <v>75000</v>
      </c>
      <c r="M81" t="s">
        <v>5</v>
      </c>
      <c r="N81" s="4">
        <v>75000</v>
      </c>
      <c r="O81" t="s">
        <v>458</v>
      </c>
      <c r="P81" s="4">
        <v>68062.5</v>
      </c>
      <c r="Q81" s="5">
        <v>182</v>
      </c>
      <c r="R81" t="s">
        <v>459</v>
      </c>
      <c r="S81" t="s">
        <v>460</v>
      </c>
      <c r="T81" t="s">
        <v>450</v>
      </c>
      <c r="U81" t="s">
        <v>461</v>
      </c>
      <c r="V81" s="2">
        <v>44743</v>
      </c>
      <c r="W81" t="s">
        <v>10</v>
      </c>
    </row>
    <row r="82" spans="1:23" ht="14.1" customHeight="1" outlineLevel="2" x14ac:dyDescent="0.25">
      <c r="A82" t="str">
        <f t="shared" si="1"/>
        <v>9990005804ITATIAIA MOVEIS S A2900</v>
      </c>
      <c r="B82" t="s">
        <v>2026</v>
      </c>
      <c r="C82">
        <v>9990005804</v>
      </c>
      <c r="D82" s="2">
        <v>44630</v>
      </c>
      <c r="E82" t="s">
        <v>0</v>
      </c>
      <c r="F82" t="s">
        <v>1</v>
      </c>
      <c r="G82" t="s">
        <v>462</v>
      </c>
      <c r="H82" t="s">
        <v>463</v>
      </c>
      <c r="J82" s="3" t="s">
        <v>4</v>
      </c>
      <c r="K82" s="2">
        <v>44660</v>
      </c>
      <c r="L82" s="4">
        <v>2900</v>
      </c>
      <c r="M82" t="s">
        <v>5</v>
      </c>
      <c r="N82" s="4">
        <v>2900</v>
      </c>
      <c r="O82" t="s">
        <v>464</v>
      </c>
      <c r="P82" s="4">
        <v>2631.75</v>
      </c>
      <c r="Q82" s="5">
        <v>82</v>
      </c>
      <c r="R82" t="s">
        <v>465</v>
      </c>
      <c r="S82" t="s">
        <v>466</v>
      </c>
      <c r="T82" t="s">
        <v>4</v>
      </c>
      <c r="U82" t="s">
        <v>467</v>
      </c>
      <c r="V82" s="2">
        <v>44743</v>
      </c>
      <c r="W82" t="s">
        <v>10</v>
      </c>
    </row>
    <row r="83" spans="1:23" ht="14.1" customHeight="1" outlineLevel="2" x14ac:dyDescent="0.25">
      <c r="A83" t="str">
        <f t="shared" si="1"/>
        <v>9990005822CERVEJARIAS KAISER BRASIL S/A-0,01</v>
      </c>
      <c r="B83" t="s">
        <v>2027</v>
      </c>
      <c r="C83">
        <v>9990005822</v>
      </c>
      <c r="D83" s="2">
        <v>44544</v>
      </c>
      <c r="E83" t="s">
        <v>468</v>
      </c>
      <c r="F83" t="s">
        <v>134</v>
      </c>
      <c r="G83" t="s">
        <v>469</v>
      </c>
      <c r="H83" t="s">
        <v>470</v>
      </c>
      <c r="J83" s="3" t="s">
        <v>4</v>
      </c>
      <c r="K83" s="2">
        <v>44540</v>
      </c>
      <c r="L83" s="4">
        <v>-0.01</v>
      </c>
      <c r="M83" t="s">
        <v>5</v>
      </c>
      <c r="N83" s="4">
        <v>-0.01</v>
      </c>
      <c r="O83" t="s">
        <v>4</v>
      </c>
      <c r="P83" s="4">
        <v>0</v>
      </c>
      <c r="Q83" s="5">
        <v>202</v>
      </c>
      <c r="R83" t="s">
        <v>4</v>
      </c>
      <c r="S83" t="s">
        <v>4</v>
      </c>
      <c r="T83" t="s">
        <v>471</v>
      </c>
      <c r="U83" t="s">
        <v>472</v>
      </c>
      <c r="V83" s="2">
        <v>44743</v>
      </c>
      <c r="W83" t="s">
        <v>10</v>
      </c>
    </row>
    <row r="84" spans="1:23" ht="14.1" customHeight="1" outlineLevel="2" x14ac:dyDescent="0.25">
      <c r="A84" t="str">
        <f t="shared" si="1"/>
        <v>9990005838Hershey do Brasil Ltda.6552</v>
      </c>
      <c r="B84" t="s">
        <v>2028</v>
      </c>
      <c r="C84">
        <v>9990005838</v>
      </c>
      <c r="D84" s="2">
        <v>44602</v>
      </c>
      <c r="E84" t="s">
        <v>0</v>
      </c>
      <c r="F84" t="s">
        <v>1</v>
      </c>
      <c r="G84" t="s">
        <v>473</v>
      </c>
      <c r="H84" t="s">
        <v>474</v>
      </c>
      <c r="J84" s="3" t="s">
        <v>4</v>
      </c>
      <c r="K84" s="2">
        <v>44632</v>
      </c>
      <c r="L84" s="4">
        <v>6552</v>
      </c>
      <c r="M84" t="s">
        <v>5</v>
      </c>
      <c r="N84" s="4">
        <v>6552</v>
      </c>
      <c r="O84" t="s">
        <v>475</v>
      </c>
      <c r="P84" s="4">
        <v>5945.94</v>
      </c>
      <c r="Q84" s="5">
        <v>110</v>
      </c>
      <c r="R84" t="s">
        <v>476</v>
      </c>
      <c r="S84" t="s">
        <v>477</v>
      </c>
      <c r="T84" t="s">
        <v>4</v>
      </c>
      <c r="U84" t="s">
        <v>478</v>
      </c>
      <c r="V84" s="2">
        <v>44743</v>
      </c>
      <c r="W84" t="s">
        <v>10</v>
      </c>
    </row>
    <row r="85" spans="1:23" ht="14.1" customHeight="1" outlineLevel="2" x14ac:dyDescent="0.25">
      <c r="A85" t="str">
        <f t="shared" si="1"/>
        <v>9990005838Hershey do Brasil Ltda.30000</v>
      </c>
      <c r="B85" t="s">
        <v>2029</v>
      </c>
      <c r="C85">
        <v>9990005838</v>
      </c>
      <c r="D85" s="2">
        <v>44630</v>
      </c>
      <c r="E85" t="s">
        <v>0</v>
      </c>
      <c r="F85" t="s">
        <v>1</v>
      </c>
      <c r="G85" t="s">
        <v>479</v>
      </c>
      <c r="H85" t="s">
        <v>474</v>
      </c>
      <c r="J85" s="3" t="s">
        <v>4</v>
      </c>
      <c r="K85" s="2">
        <v>44660</v>
      </c>
      <c r="L85" s="4">
        <v>30000</v>
      </c>
      <c r="M85" t="s">
        <v>5</v>
      </c>
      <c r="N85" s="4">
        <v>30000</v>
      </c>
      <c r="O85" t="s">
        <v>480</v>
      </c>
      <c r="P85" s="4">
        <v>27225</v>
      </c>
      <c r="Q85" s="5">
        <v>82</v>
      </c>
      <c r="R85" t="s">
        <v>481</v>
      </c>
      <c r="S85" t="s">
        <v>482</v>
      </c>
      <c r="T85" t="s">
        <v>4</v>
      </c>
      <c r="U85" t="s">
        <v>483</v>
      </c>
      <c r="V85" s="2">
        <v>44743</v>
      </c>
      <c r="W85" t="s">
        <v>10</v>
      </c>
    </row>
    <row r="86" spans="1:23" ht="14.1" customHeight="1" outlineLevel="2" x14ac:dyDescent="0.25">
      <c r="A86" t="str">
        <f t="shared" si="1"/>
        <v>9990005838Hershey do Brasil Ltda.43375,34</v>
      </c>
      <c r="B86" t="s">
        <v>2030</v>
      </c>
      <c r="C86">
        <v>9990005838</v>
      </c>
      <c r="D86" s="2">
        <v>44663</v>
      </c>
      <c r="E86" t="s">
        <v>0</v>
      </c>
      <c r="F86" t="s">
        <v>1</v>
      </c>
      <c r="G86" t="s">
        <v>484</v>
      </c>
      <c r="H86" t="s">
        <v>474</v>
      </c>
      <c r="J86" s="3" t="s">
        <v>4</v>
      </c>
      <c r="K86" s="2">
        <v>44693</v>
      </c>
      <c r="L86" s="4">
        <v>43375.34</v>
      </c>
      <c r="M86" t="s">
        <v>5</v>
      </c>
      <c r="N86" s="4">
        <v>43375.34</v>
      </c>
      <c r="O86" t="s">
        <v>485</v>
      </c>
      <c r="P86" s="4">
        <v>39363.120000000003</v>
      </c>
      <c r="Q86" s="5">
        <v>49</v>
      </c>
      <c r="R86" t="s">
        <v>486</v>
      </c>
      <c r="S86" t="s">
        <v>487</v>
      </c>
      <c r="T86" t="s">
        <v>4</v>
      </c>
      <c r="U86" t="s">
        <v>488</v>
      </c>
      <c r="V86" s="2">
        <v>44743</v>
      </c>
      <c r="W86" t="s">
        <v>10</v>
      </c>
    </row>
    <row r="87" spans="1:23" ht="14.1" customHeight="1" outlineLevel="2" x14ac:dyDescent="0.25">
      <c r="A87" t="str">
        <f t="shared" si="1"/>
        <v>9990005838Hershey do Brasil Ltda.30000</v>
      </c>
      <c r="B87" t="s">
        <v>2029</v>
      </c>
      <c r="C87">
        <v>9990005838</v>
      </c>
      <c r="D87" s="2">
        <v>44692</v>
      </c>
      <c r="E87" t="s">
        <v>0</v>
      </c>
      <c r="F87" t="s">
        <v>1</v>
      </c>
      <c r="G87" t="s">
        <v>489</v>
      </c>
      <c r="H87" t="s">
        <v>474</v>
      </c>
      <c r="J87" s="3" t="s">
        <v>4</v>
      </c>
      <c r="K87" s="2">
        <v>44722</v>
      </c>
      <c r="L87" s="4">
        <v>30000</v>
      </c>
      <c r="M87" t="s">
        <v>5</v>
      </c>
      <c r="N87" s="4">
        <v>30000</v>
      </c>
      <c r="O87" t="s">
        <v>490</v>
      </c>
      <c r="P87" s="4">
        <v>27225</v>
      </c>
      <c r="Q87" s="5">
        <v>20</v>
      </c>
      <c r="R87" t="s">
        <v>491</v>
      </c>
      <c r="S87" t="s">
        <v>492</v>
      </c>
      <c r="T87" t="s">
        <v>4</v>
      </c>
      <c r="U87" t="s">
        <v>493</v>
      </c>
      <c r="V87" s="2">
        <v>44743</v>
      </c>
      <c r="W87" t="s">
        <v>10</v>
      </c>
    </row>
    <row r="88" spans="1:23" ht="14.1" customHeight="1" outlineLevel="2" x14ac:dyDescent="0.25">
      <c r="A88" t="str">
        <f t="shared" si="1"/>
        <v>9990005838Hershey do Brasil Ltda.3353</v>
      </c>
      <c r="B88" t="s">
        <v>2031</v>
      </c>
      <c r="C88">
        <v>9990005838</v>
      </c>
      <c r="D88" s="2">
        <v>44602</v>
      </c>
      <c r="E88" t="s">
        <v>0</v>
      </c>
      <c r="F88" t="s">
        <v>1</v>
      </c>
      <c r="G88" t="s">
        <v>494</v>
      </c>
      <c r="H88" t="s">
        <v>474</v>
      </c>
      <c r="J88" s="3" t="s">
        <v>4</v>
      </c>
      <c r="K88" s="2">
        <v>44632</v>
      </c>
      <c r="L88" s="4">
        <v>3353</v>
      </c>
      <c r="M88" t="s">
        <v>5</v>
      </c>
      <c r="N88" s="4">
        <v>3353</v>
      </c>
      <c r="O88" t="s">
        <v>495</v>
      </c>
      <c r="P88" s="4">
        <v>3042.85</v>
      </c>
      <c r="Q88" s="5">
        <v>110</v>
      </c>
      <c r="R88" t="s">
        <v>496</v>
      </c>
      <c r="S88" t="s">
        <v>497</v>
      </c>
      <c r="T88" t="s">
        <v>4</v>
      </c>
      <c r="U88" t="s">
        <v>498</v>
      </c>
      <c r="V88" s="2">
        <v>44743</v>
      </c>
      <c r="W88" t="s">
        <v>10</v>
      </c>
    </row>
    <row r="89" spans="1:23" ht="14.1" customHeight="1" outlineLevel="2" x14ac:dyDescent="0.25">
      <c r="A89" t="str">
        <f t="shared" si="1"/>
        <v>9990005902INTERFOOD IMPORTACAO LTDA.8953</v>
      </c>
      <c r="B89" t="s">
        <v>2032</v>
      </c>
      <c r="C89">
        <v>9990005902</v>
      </c>
      <c r="D89" s="2">
        <v>44602</v>
      </c>
      <c r="E89" t="s">
        <v>0</v>
      </c>
      <c r="F89" t="s">
        <v>1</v>
      </c>
      <c r="G89" t="s">
        <v>499</v>
      </c>
      <c r="H89" t="s">
        <v>500</v>
      </c>
      <c r="J89" s="3" t="s">
        <v>4</v>
      </c>
      <c r="K89" s="2">
        <v>44662</v>
      </c>
      <c r="L89" s="4">
        <v>8953</v>
      </c>
      <c r="M89" t="s">
        <v>5</v>
      </c>
      <c r="N89" s="4">
        <v>8953</v>
      </c>
      <c r="O89" t="s">
        <v>501</v>
      </c>
      <c r="P89" s="4">
        <v>8124.85</v>
      </c>
      <c r="Q89" s="5">
        <v>80</v>
      </c>
      <c r="R89" t="s">
        <v>502</v>
      </c>
      <c r="S89" t="s">
        <v>503</v>
      </c>
      <c r="T89" t="s">
        <v>4</v>
      </c>
      <c r="U89" t="s">
        <v>504</v>
      </c>
      <c r="V89" s="2">
        <v>44743</v>
      </c>
      <c r="W89" t="s">
        <v>10</v>
      </c>
    </row>
    <row r="90" spans="1:23" ht="14.1" customHeight="1" outlineLevel="2" x14ac:dyDescent="0.25">
      <c r="A90" t="str">
        <f t="shared" si="1"/>
        <v>9990005933GREMIO NESTLE17020</v>
      </c>
      <c r="B90" t="s">
        <v>2033</v>
      </c>
      <c r="C90">
        <v>9990005933</v>
      </c>
      <c r="D90" s="2">
        <v>44419</v>
      </c>
      <c r="E90" t="s">
        <v>0</v>
      </c>
      <c r="F90" t="s">
        <v>1</v>
      </c>
      <c r="G90" t="s">
        <v>505</v>
      </c>
      <c r="H90" t="s">
        <v>506</v>
      </c>
      <c r="J90" s="3" t="s">
        <v>4</v>
      </c>
      <c r="K90" s="2">
        <v>44530</v>
      </c>
      <c r="L90" s="4">
        <v>17020</v>
      </c>
      <c r="M90" t="s">
        <v>5</v>
      </c>
      <c r="N90" s="4">
        <v>17020</v>
      </c>
      <c r="O90" t="s">
        <v>507</v>
      </c>
      <c r="P90" s="4">
        <v>15445.65</v>
      </c>
      <c r="Q90" s="5">
        <v>212</v>
      </c>
      <c r="R90" t="s">
        <v>508</v>
      </c>
      <c r="S90" t="s">
        <v>509</v>
      </c>
      <c r="T90" t="s">
        <v>510</v>
      </c>
      <c r="U90" t="s">
        <v>511</v>
      </c>
      <c r="V90" s="2">
        <v>44743</v>
      </c>
      <c r="W90" t="s">
        <v>512</v>
      </c>
    </row>
    <row r="91" spans="1:23" ht="14.1" customHeight="1" outlineLevel="2" x14ac:dyDescent="0.25">
      <c r="A91" t="str">
        <f t="shared" si="1"/>
        <v>9990005933GREMIO NESTLE10000</v>
      </c>
      <c r="B91" t="s">
        <v>2034</v>
      </c>
      <c r="C91">
        <v>9990005933</v>
      </c>
      <c r="D91" s="2">
        <v>44581</v>
      </c>
      <c r="E91" t="s">
        <v>0</v>
      </c>
      <c r="F91" t="s">
        <v>1</v>
      </c>
      <c r="G91" t="s">
        <v>513</v>
      </c>
      <c r="H91" t="s">
        <v>506</v>
      </c>
      <c r="J91" s="3" t="s">
        <v>4</v>
      </c>
      <c r="K91" s="2">
        <v>44641</v>
      </c>
      <c r="L91" s="4">
        <v>10000</v>
      </c>
      <c r="M91" t="s">
        <v>5</v>
      </c>
      <c r="N91" s="4">
        <v>10000</v>
      </c>
      <c r="O91" t="s">
        <v>514</v>
      </c>
      <c r="P91" s="4">
        <v>9075</v>
      </c>
      <c r="Q91" s="5">
        <v>101</v>
      </c>
      <c r="R91" t="s">
        <v>515</v>
      </c>
      <c r="S91" t="s">
        <v>516</v>
      </c>
      <c r="T91" t="s">
        <v>517</v>
      </c>
      <c r="U91" t="s">
        <v>518</v>
      </c>
      <c r="V91" s="2">
        <v>44743</v>
      </c>
      <c r="W91" t="s">
        <v>512</v>
      </c>
    </row>
    <row r="92" spans="1:23" ht="14.1" customHeight="1" outlineLevel="2" x14ac:dyDescent="0.25">
      <c r="A92" t="str">
        <f t="shared" si="1"/>
        <v>9990005970ALPARGATAS S.A.23929</v>
      </c>
      <c r="B92" t="s">
        <v>2035</v>
      </c>
      <c r="C92">
        <v>9990005970</v>
      </c>
      <c r="D92" s="2">
        <v>44571</v>
      </c>
      <c r="E92" t="s">
        <v>0</v>
      </c>
      <c r="F92" t="s">
        <v>1</v>
      </c>
      <c r="G92" t="s">
        <v>519</v>
      </c>
      <c r="H92" t="s">
        <v>520</v>
      </c>
      <c r="J92" s="3" t="s">
        <v>4</v>
      </c>
      <c r="K92" s="2">
        <v>44631</v>
      </c>
      <c r="L92" s="4">
        <v>23929</v>
      </c>
      <c r="M92" t="s">
        <v>5</v>
      </c>
      <c r="N92" s="4">
        <v>23929</v>
      </c>
      <c r="O92" t="s">
        <v>521</v>
      </c>
      <c r="P92" s="4">
        <v>21715.57</v>
      </c>
      <c r="Q92" s="5">
        <v>111</v>
      </c>
      <c r="R92" t="s">
        <v>522</v>
      </c>
      <c r="S92" t="s">
        <v>523</v>
      </c>
      <c r="T92" t="s">
        <v>26</v>
      </c>
      <c r="U92" t="s">
        <v>524</v>
      </c>
      <c r="V92" s="2">
        <v>44743</v>
      </c>
      <c r="W92" t="s">
        <v>10</v>
      </c>
    </row>
    <row r="93" spans="1:23" ht="14.1" customHeight="1" outlineLevel="2" x14ac:dyDescent="0.25">
      <c r="A93" t="str">
        <f t="shared" si="1"/>
        <v>9990005970ALPARGATAS S.A.19997,22</v>
      </c>
      <c r="B93" t="s">
        <v>2036</v>
      </c>
      <c r="C93">
        <v>9990005970</v>
      </c>
      <c r="D93" s="2">
        <v>44630</v>
      </c>
      <c r="E93" t="s">
        <v>0</v>
      </c>
      <c r="F93" t="s">
        <v>1</v>
      </c>
      <c r="G93" t="s">
        <v>525</v>
      </c>
      <c r="H93" t="s">
        <v>520</v>
      </c>
      <c r="J93" s="3" t="s">
        <v>4</v>
      </c>
      <c r="K93" s="2">
        <v>44690</v>
      </c>
      <c r="L93" s="4">
        <v>19997.22</v>
      </c>
      <c r="M93" t="s">
        <v>5</v>
      </c>
      <c r="N93" s="4">
        <v>19997.22</v>
      </c>
      <c r="O93" t="s">
        <v>526</v>
      </c>
      <c r="P93" s="4">
        <v>18147.48</v>
      </c>
      <c r="Q93" s="5">
        <v>52</v>
      </c>
      <c r="R93" t="s">
        <v>527</v>
      </c>
      <c r="S93" t="s">
        <v>528</v>
      </c>
      <c r="T93" t="s">
        <v>4</v>
      </c>
      <c r="U93" t="s">
        <v>529</v>
      </c>
      <c r="V93" s="2">
        <v>44743</v>
      </c>
      <c r="W93" t="s">
        <v>10</v>
      </c>
    </row>
    <row r="94" spans="1:23" ht="14.1" customHeight="1" outlineLevel="2" x14ac:dyDescent="0.25">
      <c r="A94" t="str">
        <f t="shared" si="1"/>
        <v>9990005978GENOMMA LABORATORIES DO BRASIL LTDA2586</v>
      </c>
      <c r="B94" t="s">
        <v>2037</v>
      </c>
      <c r="C94">
        <v>9990005978</v>
      </c>
      <c r="D94" s="2">
        <v>44357</v>
      </c>
      <c r="E94" t="s">
        <v>0</v>
      </c>
      <c r="F94" t="s">
        <v>1</v>
      </c>
      <c r="G94" t="s">
        <v>530</v>
      </c>
      <c r="H94" t="s">
        <v>531</v>
      </c>
      <c r="J94" s="3" t="s">
        <v>4</v>
      </c>
      <c r="K94" s="2">
        <v>44706</v>
      </c>
      <c r="L94" s="4">
        <v>2586</v>
      </c>
      <c r="M94" t="s">
        <v>5</v>
      </c>
      <c r="N94" s="4">
        <v>2586</v>
      </c>
      <c r="O94" t="s">
        <v>532</v>
      </c>
      <c r="P94" s="4">
        <v>2346.79</v>
      </c>
      <c r="Q94" s="5">
        <v>36</v>
      </c>
      <c r="R94" t="s">
        <v>533</v>
      </c>
      <c r="S94" t="s">
        <v>534</v>
      </c>
      <c r="T94" t="s">
        <v>535</v>
      </c>
      <c r="U94" t="s">
        <v>536</v>
      </c>
      <c r="V94" s="2">
        <v>44743</v>
      </c>
      <c r="W94" t="s">
        <v>10</v>
      </c>
    </row>
    <row r="95" spans="1:23" ht="14.1" customHeight="1" outlineLevel="2" x14ac:dyDescent="0.25">
      <c r="A95" t="str">
        <f t="shared" si="1"/>
        <v>9990005978GENOMMA LABORATORIES DO BRASIL LTDA8361,09</v>
      </c>
      <c r="B95" t="s">
        <v>2038</v>
      </c>
      <c r="C95">
        <v>9990005978</v>
      </c>
      <c r="D95" s="2">
        <v>44397</v>
      </c>
      <c r="E95" t="s">
        <v>0</v>
      </c>
      <c r="F95" t="s">
        <v>1</v>
      </c>
      <c r="G95" t="s">
        <v>537</v>
      </c>
      <c r="H95" t="s">
        <v>531</v>
      </c>
      <c r="J95" s="3" t="s">
        <v>4</v>
      </c>
      <c r="K95" s="2">
        <v>44706</v>
      </c>
      <c r="L95" s="4">
        <v>8361.09</v>
      </c>
      <c r="M95" t="s">
        <v>5</v>
      </c>
      <c r="N95" s="4">
        <v>8361.09</v>
      </c>
      <c r="O95" t="s">
        <v>538</v>
      </c>
      <c r="P95" s="4">
        <v>7587.7</v>
      </c>
      <c r="Q95" s="5">
        <v>36</v>
      </c>
      <c r="R95" t="s">
        <v>539</v>
      </c>
      <c r="S95" t="s">
        <v>540</v>
      </c>
      <c r="T95" t="s">
        <v>541</v>
      </c>
      <c r="U95" t="s">
        <v>542</v>
      </c>
      <c r="V95" s="2">
        <v>44743</v>
      </c>
      <c r="W95" t="s">
        <v>10</v>
      </c>
    </row>
    <row r="96" spans="1:23" ht="14.1" customHeight="1" outlineLevel="2" x14ac:dyDescent="0.25">
      <c r="A96" t="str">
        <f t="shared" si="1"/>
        <v>9990005982BLUE DIAMOND GROWERS159</v>
      </c>
      <c r="B96" t="s">
        <v>2039</v>
      </c>
      <c r="C96">
        <v>9990005982</v>
      </c>
      <c r="D96" s="2">
        <v>44482</v>
      </c>
      <c r="E96" t="s">
        <v>0</v>
      </c>
      <c r="F96" t="s">
        <v>1</v>
      </c>
      <c r="G96" t="s">
        <v>543</v>
      </c>
      <c r="H96" t="s">
        <v>544</v>
      </c>
      <c r="J96" s="3" t="s">
        <v>4</v>
      </c>
      <c r="K96" s="2">
        <v>44542</v>
      </c>
      <c r="L96" s="4">
        <v>159</v>
      </c>
      <c r="M96" t="s">
        <v>5</v>
      </c>
      <c r="N96" s="4">
        <v>159</v>
      </c>
      <c r="O96" t="s">
        <v>545</v>
      </c>
      <c r="P96" s="4">
        <v>144.30000000000001</v>
      </c>
      <c r="Q96" s="5">
        <v>200</v>
      </c>
      <c r="R96" t="s">
        <v>546</v>
      </c>
      <c r="S96" t="s">
        <v>547</v>
      </c>
      <c r="T96" t="s">
        <v>548</v>
      </c>
      <c r="U96" t="s">
        <v>549</v>
      </c>
      <c r="V96" s="2">
        <v>44743</v>
      </c>
      <c r="W96" t="s">
        <v>10</v>
      </c>
    </row>
    <row r="97" spans="1:23" ht="14.1" customHeight="1" outlineLevel="2" x14ac:dyDescent="0.25">
      <c r="A97" t="str">
        <f t="shared" si="1"/>
        <v>9990005982BLUE DIAMOND GROWERS123</v>
      </c>
      <c r="B97" t="s">
        <v>2040</v>
      </c>
      <c r="C97">
        <v>9990005982</v>
      </c>
      <c r="D97" s="2">
        <v>44540</v>
      </c>
      <c r="E97" t="s">
        <v>0</v>
      </c>
      <c r="F97" t="s">
        <v>1</v>
      </c>
      <c r="G97" t="s">
        <v>550</v>
      </c>
      <c r="H97" t="s">
        <v>544</v>
      </c>
      <c r="J97" s="3" t="s">
        <v>4</v>
      </c>
      <c r="K97" s="2">
        <v>44600</v>
      </c>
      <c r="L97" s="4">
        <v>123</v>
      </c>
      <c r="M97" t="s">
        <v>5</v>
      </c>
      <c r="N97" s="4">
        <v>123</v>
      </c>
      <c r="O97" t="s">
        <v>551</v>
      </c>
      <c r="P97" s="4">
        <v>111.62</v>
      </c>
      <c r="Q97" s="5">
        <v>142</v>
      </c>
      <c r="R97" t="s">
        <v>552</v>
      </c>
      <c r="S97" t="s">
        <v>553</v>
      </c>
      <c r="T97" t="s">
        <v>554</v>
      </c>
      <c r="U97" t="s">
        <v>555</v>
      </c>
      <c r="V97" s="2">
        <v>44743</v>
      </c>
      <c r="W97" t="s">
        <v>10</v>
      </c>
    </row>
    <row r="98" spans="1:23" ht="14.1" customHeight="1" outlineLevel="2" x14ac:dyDescent="0.25">
      <c r="A98" t="str">
        <f t="shared" si="1"/>
        <v>9990005982BLUE DIAMOND GROWERS40000,25</v>
      </c>
      <c r="B98" t="s">
        <v>2041</v>
      </c>
      <c r="C98">
        <v>9990005982</v>
      </c>
      <c r="D98" s="2">
        <v>44449</v>
      </c>
      <c r="E98" t="s">
        <v>0</v>
      </c>
      <c r="F98" t="s">
        <v>1</v>
      </c>
      <c r="G98" t="s">
        <v>556</v>
      </c>
      <c r="H98" t="s">
        <v>544</v>
      </c>
      <c r="J98" s="3" t="s">
        <v>4</v>
      </c>
      <c r="K98" s="2">
        <v>44509</v>
      </c>
      <c r="L98" s="4">
        <v>40000.25</v>
      </c>
      <c r="M98" t="s">
        <v>5</v>
      </c>
      <c r="N98" s="4">
        <v>40000.25</v>
      </c>
      <c r="O98" t="s">
        <v>557</v>
      </c>
      <c r="P98" s="4">
        <v>36300.230000000003</v>
      </c>
      <c r="Q98" s="5">
        <v>233</v>
      </c>
      <c r="R98" t="s">
        <v>558</v>
      </c>
      <c r="S98" t="s">
        <v>559</v>
      </c>
      <c r="T98" t="s">
        <v>560</v>
      </c>
      <c r="U98" t="s">
        <v>561</v>
      </c>
      <c r="V98" s="2">
        <v>44743</v>
      </c>
      <c r="W98" t="s">
        <v>10</v>
      </c>
    </row>
    <row r="99" spans="1:23" ht="14.1" customHeight="1" outlineLevel="2" x14ac:dyDescent="0.25">
      <c r="A99" t="str">
        <f t="shared" si="1"/>
        <v>9990006005MONDELEZ BRASIL LTDA22734</v>
      </c>
      <c r="B99" t="s">
        <v>2042</v>
      </c>
      <c r="C99">
        <v>9990006005</v>
      </c>
      <c r="D99" s="2">
        <v>44630</v>
      </c>
      <c r="E99" t="s">
        <v>0</v>
      </c>
      <c r="F99" t="s">
        <v>1</v>
      </c>
      <c r="G99" t="s">
        <v>562</v>
      </c>
      <c r="H99" t="s">
        <v>563</v>
      </c>
      <c r="J99" s="3" t="s">
        <v>4</v>
      </c>
      <c r="K99" s="2">
        <v>44660</v>
      </c>
      <c r="L99" s="4">
        <v>22734</v>
      </c>
      <c r="M99" t="s">
        <v>5</v>
      </c>
      <c r="N99" s="4">
        <v>22734</v>
      </c>
      <c r="O99" t="s">
        <v>564</v>
      </c>
      <c r="P99" s="4">
        <v>20631.11</v>
      </c>
      <c r="Q99" s="5">
        <v>82</v>
      </c>
      <c r="R99" t="s">
        <v>565</v>
      </c>
      <c r="S99" t="s">
        <v>566</v>
      </c>
      <c r="T99" t="s">
        <v>567</v>
      </c>
      <c r="U99" t="s">
        <v>568</v>
      </c>
      <c r="V99" s="2">
        <v>44743</v>
      </c>
      <c r="W99" t="s">
        <v>10</v>
      </c>
    </row>
    <row r="100" spans="1:23" ht="14.1" customHeight="1" outlineLevel="2" x14ac:dyDescent="0.25">
      <c r="A100" t="str">
        <f t="shared" si="1"/>
        <v>9990006005MONDELEZ BRASIL LTDA20000</v>
      </c>
      <c r="B100" t="s">
        <v>2043</v>
      </c>
      <c r="C100">
        <v>9990006005</v>
      </c>
      <c r="D100" s="2">
        <v>44663</v>
      </c>
      <c r="E100" t="s">
        <v>0</v>
      </c>
      <c r="F100" t="s">
        <v>1</v>
      </c>
      <c r="G100" t="s">
        <v>569</v>
      </c>
      <c r="H100" t="s">
        <v>563</v>
      </c>
      <c r="J100" s="3" t="s">
        <v>4</v>
      </c>
      <c r="K100" s="2">
        <v>44693</v>
      </c>
      <c r="L100" s="4">
        <v>20000</v>
      </c>
      <c r="M100" t="s">
        <v>5</v>
      </c>
      <c r="N100" s="4">
        <v>20000</v>
      </c>
      <c r="O100" t="s">
        <v>570</v>
      </c>
      <c r="P100" s="4">
        <v>18150</v>
      </c>
      <c r="Q100" s="5">
        <v>49</v>
      </c>
      <c r="R100" t="s">
        <v>571</v>
      </c>
      <c r="S100" t="s">
        <v>572</v>
      </c>
      <c r="T100" t="s">
        <v>573</v>
      </c>
      <c r="U100" t="s">
        <v>574</v>
      </c>
      <c r="V100" s="2">
        <v>44743</v>
      </c>
      <c r="W100" t="s">
        <v>10</v>
      </c>
    </row>
    <row r="101" spans="1:23" ht="14.1" customHeight="1" outlineLevel="2" x14ac:dyDescent="0.25">
      <c r="A101" t="str">
        <f t="shared" si="1"/>
        <v>9990006005MONDELEZ BRASIL LTDA30000</v>
      </c>
      <c r="B101" t="s">
        <v>2044</v>
      </c>
      <c r="C101">
        <v>9990006005</v>
      </c>
      <c r="D101" s="2">
        <v>44692</v>
      </c>
      <c r="E101" t="s">
        <v>0</v>
      </c>
      <c r="F101" t="s">
        <v>1</v>
      </c>
      <c r="G101" t="s">
        <v>575</v>
      </c>
      <c r="H101" t="s">
        <v>563</v>
      </c>
      <c r="J101" s="3" t="s">
        <v>4</v>
      </c>
      <c r="K101" s="2">
        <v>44722</v>
      </c>
      <c r="L101" s="4">
        <v>30000</v>
      </c>
      <c r="M101" t="s">
        <v>5</v>
      </c>
      <c r="N101" s="4">
        <v>30000</v>
      </c>
      <c r="O101" t="s">
        <v>576</v>
      </c>
      <c r="P101" s="4">
        <v>27225</v>
      </c>
      <c r="Q101" s="5">
        <v>20</v>
      </c>
      <c r="R101" t="s">
        <v>577</v>
      </c>
      <c r="S101" t="s">
        <v>578</v>
      </c>
      <c r="T101" t="s">
        <v>579</v>
      </c>
      <c r="U101" t="s">
        <v>580</v>
      </c>
      <c r="V101" s="2">
        <v>44743</v>
      </c>
      <c r="W101" t="s">
        <v>10</v>
      </c>
    </row>
    <row r="102" spans="1:23" ht="14.1" customHeight="1" outlineLevel="2" x14ac:dyDescent="0.25">
      <c r="A102" t="str">
        <f t="shared" si="1"/>
        <v>9990006013DURACELL COMERCIAL E IMPORTADORA DO4064</v>
      </c>
      <c r="B102" t="s">
        <v>2045</v>
      </c>
      <c r="C102">
        <v>9990006013</v>
      </c>
      <c r="D102" s="2">
        <v>44692</v>
      </c>
      <c r="E102" t="s">
        <v>0</v>
      </c>
      <c r="F102" t="s">
        <v>1</v>
      </c>
      <c r="G102" t="s">
        <v>581</v>
      </c>
      <c r="H102" t="s">
        <v>582</v>
      </c>
      <c r="J102" s="3" t="s">
        <v>4</v>
      </c>
      <c r="K102" s="2">
        <v>44722</v>
      </c>
      <c r="L102" s="4">
        <v>4064</v>
      </c>
      <c r="M102" t="s">
        <v>5</v>
      </c>
      <c r="N102" s="4">
        <v>4064</v>
      </c>
      <c r="O102" t="s">
        <v>583</v>
      </c>
      <c r="P102" s="4">
        <v>3688.08</v>
      </c>
      <c r="Q102" s="5">
        <v>20</v>
      </c>
      <c r="R102" t="s">
        <v>584</v>
      </c>
      <c r="S102" t="s">
        <v>585</v>
      </c>
      <c r="T102" t="s">
        <v>586</v>
      </c>
      <c r="U102" t="s">
        <v>587</v>
      </c>
      <c r="V102" s="2">
        <v>44743</v>
      </c>
      <c r="W102" t="s">
        <v>10</v>
      </c>
    </row>
    <row r="103" spans="1:23" ht="14.1" customHeight="1" outlineLevel="2" x14ac:dyDescent="0.25">
      <c r="A103" t="str">
        <f t="shared" si="1"/>
        <v>9990006055SIKA S A10245</v>
      </c>
      <c r="B103" t="s">
        <v>2046</v>
      </c>
      <c r="C103">
        <v>9990006055</v>
      </c>
      <c r="D103" s="2">
        <v>44630</v>
      </c>
      <c r="E103" t="s">
        <v>0</v>
      </c>
      <c r="F103" t="s">
        <v>1</v>
      </c>
      <c r="G103" t="s">
        <v>588</v>
      </c>
      <c r="H103" t="s">
        <v>589</v>
      </c>
      <c r="J103" s="3" t="s">
        <v>4</v>
      </c>
      <c r="K103" s="2">
        <v>44660</v>
      </c>
      <c r="L103" s="4">
        <v>10245</v>
      </c>
      <c r="M103" t="s">
        <v>5</v>
      </c>
      <c r="N103" s="4">
        <v>10245</v>
      </c>
      <c r="O103" t="s">
        <v>590</v>
      </c>
      <c r="P103" s="4">
        <v>9297.34</v>
      </c>
      <c r="Q103" s="5">
        <v>82</v>
      </c>
      <c r="R103" t="s">
        <v>591</v>
      </c>
      <c r="S103" t="s">
        <v>592</v>
      </c>
      <c r="T103" t="s">
        <v>4</v>
      </c>
      <c r="U103" t="s">
        <v>593</v>
      </c>
      <c r="V103" s="2">
        <v>44743</v>
      </c>
      <c r="W103" t="s">
        <v>10</v>
      </c>
    </row>
    <row r="104" spans="1:23" ht="14.1" customHeight="1" outlineLevel="2" x14ac:dyDescent="0.25">
      <c r="A104" t="str">
        <f t="shared" si="1"/>
        <v>9990006080E NOZES COMERCIO PRODUTOS NATURAIS94519,47</v>
      </c>
      <c r="B104" t="s">
        <v>2047</v>
      </c>
      <c r="C104">
        <v>9990006080</v>
      </c>
      <c r="D104" s="2">
        <v>44397</v>
      </c>
      <c r="E104" t="s">
        <v>0</v>
      </c>
      <c r="F104" t="s">
        <v>1</v>
      </c>
      <c r="G104" t="s">
        <v>594</v>
      </c>
      <c r="H104" t="s">
        <v>595</v>
      </c>
      <c r="J104" s="3" t="s">
        <v>4</v>
      </c>
      <c r="K104" s="2">
        <v>44457</v>
      </c>
      <c r="L104" s="4">
        <v>94519.47</v>
      </c>
      <c r="M104" t="s">
        <v>5</v>
      </c>
      <c r="N104" s="4">
        <v>94519.47</v>
      </c>
      <c r="O104" t="s">
        <v>596</v>
      </c>
      <c r="P104" s="4">
        <v>85776.41</v>
      </c>
      <c r="Q104" s="5">
        <v>285</v>
      </c>
      <c r="R104" t="s">
        <v>597</v>
      </c>
      <c r="S104" t="s">
        <v>598</v>
      </c>
      <c r="T104" t="s">
        <v>599</v>
      </c>
      <c r="U104" t="s">
        <v>600</v>
      </c>
      <c r="V104" s="2">
        <v>44743</v>
      </c>
      <c r="W104" t="s">
        <v>10</v>
      </c>
    </row>
    <row r="105" spans="1:23" ht="14.1" customHeight="1" outlineLevel="2" x14ac:dyDescent="0.25">
      <c r="A105" t="str">
        <f t="shared" si="1"/>
        <v>9990006080E NOZES COMERCIO PRODUTOS NATURAIS40000,02</v>
      </c>
      <c r="B105" t="s">
        <v>2048</v>
      </c>
      <c r="C105">
        <v>9990006080</v>
      </c>
      <c r="D105" s="2">
        <v>44482</v>
      </c>
      <c r="E105" t="s">
        <v>0</v>
      </c>
      <c r="F105" t="s">
        <v>1</v>
      </c>
      <c r="G105" t="s">
        <v>601</v>
      </c>
      <c r="H105" t="s">
        <v>595</v>
      </c>
      <c r="J105" s="3" t="s">
        <v>4</v>
      </c>
      <c r="K105" s="2">
        <v>44542</v>
      </c>
      <c r="L105" s="4">
        <v>40000.019999999997</v>
      </c>
      <c r="M105" t="s">
        <v>5</v>
      </c>
      <c r="N105" s="4">
        <v>40000.019999999997</v>
      </c>
      <c r="O105" t="s">
        <v>602</v>
      </c>
      <c r="P105" s="4">
        <v>36300.01</v>
      </c>
      <c r="Q105" s="5">
        <v>200</v>
      </c>
      <c r="R105" t="s">
        <v>603</v>
      </c>
      <c r="S105" t="s">
        <v>604</v>
      </c>
      <c r="T105" t="s">
        <v>605</v>
      </c>
      <c r="U105" t="s">
        <v>606</v>
      </c>
      <c r="V105" s="2">
        <v>44743</v>
      </c>
      <c r="W105" t="s">
        <v>10</v>
      </c>
    </row>
    <row r="106" spans="1:23" ht="14.1" customHeight="1" outlineLevel="2" x14ac:dyDescent="0.25">
      <c r="A106" t="str">
        <f t="shared" si="1"/>
        <v>9990006080E NOZES COMERCIO PRODUTOS NATURAIS37829,27</v>
      </c>
      <c r="B106" t="s">
        <v>2049</v>
      </c>
      <c r="C106">
        <v>9990006080</v>
      </c>
      <c r="D106" s="2">
        <v>44510</v>
      </c>
      <c r="E106" t="s">
        <v>0</v>
      </c>
      <c r="F106" t="s">
        <v>1</v>
      </c>
      <c r="G106" t="s">
        <v>607</v>
      </c>
      <c r="H106" t="s">
        <v>595</v>
      </c>
      <c r="J106" s="3" t="s">
        <v>4</v>
      </c>
      <c r="K106" s="2">
        <v>44540</v>
      </c>
      <c r="L106" s="4">
        <v>37829.269999999997</v>
      </c>
      <c r="M106" t="s">
        <v>5</v>
      </c>
      <c r="N106" s="4">
        <v>37829.269999999997</v>
      </c>
      <c r="O106" t="s">
        <v>608</v>
      </c>
      <c r="P106" s="4">
        <v>34330.06</v>
      </c>
      <c r="Q106" s="5">
        <v>202</v>
      </c>
      <c r="R106" t="s">
        <v>609</v>
      </c>
      <c r="S106" t="s">
        <v>610</v>
      </c>
      <c r="T106" t="s">
        <v>611</v>
      </c>
      <c r="U106" t="s">
        <v>612</v>
      </c>
      <c r="V106" s="2">
        <v>44743</v>
      </c>
      <c r="W106" t="s">
        <v>10</v>
      </c>
    </row>
    <row r="107" spans="1:23" ht="14.1" customHeight="1" outlineLevel="2" x14ac:dyDescent="0.25">
      <c r="A107" t="str">
        <f t="shared" si="1"/>
        <v>9990006080E NOZES COMERCIO PRODUTOS NATURAIS27657</v>
      </c>
      <c r="B107" t="s">
        <v>2050</v>
      </c>
      <c r="C107">
        <v>9990006080</v>
      </c>
      <c r="D107" s="2">
        <v>44449</v>
      </c>
      <c r="E107" t="s">
        <v>0</v>
      </c>
      <c r="F107" t="s">
        <v>1</v>
      </c>
      <c r="G107" t="s">
        <v>613</v>
      </c>
      <c r="H107" t="s">
        <v>595</v>
      </c>
      <c r="J107" s="3" t="s">
        <v>4</v>
      </c>
      <c r="K107" s="2">
        <v>44509</v>
      </c>
      <c r="L107" s="4">
        <v>27657</v>
      </c>
      <c r="M107" t="s">
        <v>5</v>
      </c>
      <c r="N107" s="4">
        <v>27657</v>
      </c>
      <c r="O107" t="s">
        <v>614</v>
      </c>
      <c r="P107" s="4">
        <v>25098.73</v>
      </c>
      <c r="Q107" s="5">
        <v>233</v>
      </c>
      <c r="R107" t="s">
        <v>615</v>
      </c>
      <c r="S107" t="s">
        <v>616</v>
      </c>
      <c r="T107" t="s">
        <v>617</v>
      </c>
      <c r="U107" t="s">
        <v>618</v>
      </c>
      <c r="V107" s="2">
        <v>44743</v>
      </c>
      <c r="W107" t="s">
        <v>10</v>
      </c>
    </row>
    <row r="108" spans="1:23" ht="14.1" customHeight="1" outlineLevel="2" x14ac:dyDescent="0.25">
      <c r="A108" t="str">
        <f t="shared" si="1"/>
        <v>9990006080E NOZES COMERCIO PRODUTOS NATURAIS32099,44</v>
      </c>
      <c r="B108" t="s">
        <v>2051</v>
      </c>
      <c r="C108">
        <v>9990006080</v>
      </c>
      <c r="D108" s="2">
        <v>44419</v>
      </c>
      <c r="E108" t="s">
        <v>0</v>
      </c>
      <c r="F108" t="s">
        <v>1</v>
      </c>
      <c r="G108" t="s">
        <v>619</v>
      </c>
      <c r="H108" t="s">
        <v>595</v>
      </c>
      <c r="J108" s="3" t="s">
        <v>4</v>
      </c>
      <c r="K108" s="2">
        <v>44479</v>
      </c>
      <c r="L108" s="4">
        <v>32099.439999999999</v>
      </c>
      <c r="M108" t="s">
        <v>5</v>
      </c>
      <c r="N108" s="4">
        <v>32099.439999999999</v>
      </c>
      <c r="O108" t="s">
        <v>620</v>
      </c>
      <c r="P108" s="4">
        <v>29130.240000000002</v>
      </c>
      <c r="Q108" s="5">
        <v>263</v>
      </c>
      <c r="R108" t="s">
        <v>621</v>
      </c>
      <c r="S108" t="s">
        <v>622</v>
      </c>
      <c r="T108" t="s">
        <v>623</v>
      </c>
      <c r="U108" t="s">
        <v>624</v>
      </c>
      <c r="V108" s="2">
        <v>44743</v>
      </c>
      <c r="W108" t="s">
        <v>10</v>
      </c>
    </row>
    <row r="109" spans="1:23" ht="14.1" customHeight="1" outlineLevel="2" x14ac:dyDescent="0.25">
      <c r="A109" t="str">
        <f t="shared" si="1"/>
        <v>9990006141BR PARTNER EQUIPAMENTOS ELETRONICOS38455,75</v>
      </c>
      <c r="B109" t="s">
        <v>2052</v>
      </c>
      <c r="C109">
        <v>9990006141</v>
      </c>
      <c r="D109" s="2">
        <v>44663</v>
      </c>
      <c r="E109" t="s">
        <v>0</v>
      </c>
      <c r="F109" t="s">
        <v>1</v>
      </c>
      <c r="G109" t="s">
        <v>625</v>
      </c>
      <c r="H109" t="s">
        <v>626</v>
      </c>
      <c r="J109" s="3" t="s">
        <v>4</v>
      </c>
      <c r="K109" s="2">
        <v>44693</v>
      </c>
      <c r="L109" s="4">
        <v>38455.75</v>
      </c>
      <c r="M109" t="s">
        <v>5</v>
      </c>
      <c r="N109" s="4">
        <v>38455.75</v>
      </c>
      <c r="O109" t="s">
        <v>627</v>
      </c>
      <c r="P109" s="4">
        <v>34898.589999999997</v>
      </c>
      <c r="Q109" s="5">
        <v>49</v>
      </c>
      <c r="R109" t="s">
        <v>628</v>
      </c>
      <c r="S109" t="s">
        <v>629</v>
      </c>
      <c r="T109" t="s">
        <v>4</v>
      </c>
      <c r="U109" t="s">
        <v>630</v>
      </c>
      <c r="V109" s="2">
        <v>44743</v>
      </c>
      <c r="W109" t="s">
        <v>10</v>
      </c>
    </row>
    <row r="110" spans="1:23" ht="14.1" customHeight="1" outlineLevel="2" x14ac:dyDescent="0.25">
      <c r="A110" t="str">
        <f t="shared" si="1"/>
        <v>9990006143NESTLÉ STORES LTDA85862,15</v>
      </c>
      <c r="B110" t="s">
        <v>2053</v>
      </c>
      <c r="C110">
        <v>9990006143</v>
      </c>
      <c r="D110" s="2">
        <v>44389</v>
      </c>
      <c r="E110" t="s">
        <v>0</v>
      </c>
      <c r="F110" t="s">
        <v>1</v>
      </c>
      <c r="G110" t="s">
        <v>631</v>
      </c>
      <c r="H110" t="s">
        <v>632</v>
      </c>
      <c r="J110" s="3" t="s">
        <v>4</v>
      </c>
      <c r="K110" s="2">
        <v>44659</v>
      </c>
      <c r="L110" s="4">
        <v>85862.15</v>
      </c>
      <c r="M110" t="s">
        <v>5</v>
      </c>
      <c r="N110" s="4">
        <v>85862.15</v>
      </c>
      <c r="O110" t="s">
        <v>633</v>
      </c>
      <c r="P110" s="4">
        <v>77919.899999999994</v>
      </c>
      <c r="Q110" s="5">
        <v>83</v>
      </c>
      <c r="R110" t="s">
        <v>634</v>
      </c>
      <c r="S110" t="s">
        <v>635</v>
      </c>
      <c r="T110" t="s">
        <v>636</v>
      </c>
      <c r="U110" t="s">
        <v>637</v>
      </c>
      <c r="V110" s="2">
        <v>44743</v>
      </c>
      <c r="W110" t="s">
        <v>10</v>
      </c>
    </row>
    <row r="111" spans="1:23" ht="14.1" customHeight="1" outlineLevel="2" x14ac:dyDescent="0.25">
      <c r="A111" t="str">
        <f t="shared" si="1"/>
        <v>9990006143NESTLÉ STORES LTDA32779,26</v>
      </c>
      <c r="B111" t="s">
        <v>2054</v>
      </c>
      <c r="C111">
        <v>9990006143</v>
      </c>
      <c r="D111" s="2">
        <v>44389</v>
      </c>
      <c r="E111" t="s">
        <v>0</v>
      </c>
      <c r="F111" t="s">
        <v>1</v>
      </c>
      <c r="G111" t="s">
        <v>638</v>
      </c>
      <c r="H111" t="s">
        <v>632</v>
      </c>
      <c r="J111" s="3" t="s">
        <v>4</v>
      </c>
      <c r="K111" s="2">
        <v>44659</v>
      </c>
      <c r="L111" s="4">
        <v>32779.26</v>
      </c>
      <c r="M111" t="s">
        <v>5</v>
      </c>
      <c r="N111" s="4">
        <v>32779.26</v>
      </c>
      <c r="O111" t="s">
        <v>639</v>
      </c>
      <c r="P111" s="4">
        <v>29747.18</v>
      </c>
      <c r="Q111" s="5">
        <v>83</v>
      </c>
      <c r="R111" t="s">
        <v>640</v>
      </c>
      <c r="S111" t="s">
        <v>641</v>
      </c>
      <c r="T111" t="s">
        <v>642</v>
      </c>
      <c r="U111" t="s">
        <v>643</v>
      </c>
      <c r="V111" s="2">
        <v>44743</v>
      </c>
      <c r="W111" t="s">
        <v>10</v>
      </c>
    </row>
    <row r="112" spans="1:23" ht="14.1" customHeight="1" outlineLevel="2" x14ac:dyDescent="0.25">
      <c r="A112" t="str">
        <f t="shared" si="1"/>
        <v>9990006143NESTLÉ STORES LTDA69960,11</v>
      </c>
      <c r="B112" t="s">
        <v>2055</v>
      </c>
      <c r="C112">
        <v>9990006143</v>
      </c>
      <c r="D112" s="2">
        <v>44663</v>
      </c>
      <c r="E112" t="s">
        <v>0</v>
      </c>
      <c r="F112" t="s">
        <v>1</v>
      </c>
      <c r="G112" t="s">
        <v>644</v>
      </c>
      <c r="H112" t="s">
        <v>632</v>
      </c>
      <c r="J112" s="3" t="s">
        <v>4</v>
      </c>
      <c r="K112" s="2">
        <v>44693</v>
      </c>
      <c r="L112" s="4">
        <v>69960.11</v>
      </c>
      <c r="M112" t="s">
        <v>5</v>
      </c>
      <c r="N112" s="4">
        <v>69960.11</v>
      </c>
      <c r="O112" t="s">
        <v>645</v>
      </c>
      <c r="P112" s="4">
        <v>63488.800000000003</v>
      </c>
      <c r="Q112" s="5">
        <v>49</v>
      </c>
      <c r="R112" t="s">
        <v>646</v>
      </c>
      <c r="S112" t="s">
        <v>647</v>
      </c>
      <c r="T112" t="s">
        <v>4</v>
      </c>
      <c r="U112" t="s">
        <v>648</v>
      </c>
      <c r="V112" s="2">
        <v>44743</v>
      </c>
      <c r="W112" t="s">
        <v>10</v>
      </c>
    </row>
    <row r="113" spans="1:23" ht="14.1" customHeight="1" outlineLevel="2" x14ac:dyDescent="0.25">
      <c r="A113" t="str">
        <f t="shared" si="1"/>
        <v>9990006143NESTLÉ STORES LTDA89288,09</v>
      </c>
      <c r="B113" t="s">
        <v>2056</v>
      </c>
      <c r="C113">
        <v>9990006143</v>
      </c>
      <c r="D113" s="2">
        <v>44692</v>
      </c>
      <c r="E113" t="s">
        <v>0</v>
      </c>
      <c r="F113" t="s">
        <v>1</v>
      </c>
      <c r="G113" t="s">
        <v>649</v>
      </c>
      <c r="H113" t="s">
        <v>632</v>
      </c>
      <c r="J113" s="3" t="s">
        <v>4</v>
      </c>
      <c r="K113" s="2">
        <v>44722</v>
      </c>
      <c r="L113" s="4">
        <v>89288.09</v>
      </c>
      <c r="M113" t="s">
        <v>5</v>
      </c>
      <c r="N113" s="4">
        <v>89288.09</v>
      </c>
      <c r="O113" t="s">
        <v>650</v>
      </c>
      <c r="P113" s="4">
        <v>81028.95</v>
      </c>
      <c r="Q113" s="5">
        <v>20</v>
      </c>
      <c r="R113" t="s">
        <v>651</v>
      </c>
      <c r="S113" t="s">
        <v>652</v>
      </c>
      <c r="T113" t="s">
        <v>653</v>
      </c>
      <c r="U113" t="s">
        <v>654</v>
      </c>
      <c r="V113" s="2">
        <v>44743</v>
      </c>
      <c r="W113" t="s">
        <v>10</v>
      </c>
    </row>
    <row r="114" spans="1:23" ht="14.1" customHeight="1" outlineLevel="2" x14ac:dyDescent="0.25">
      <c r="A114" t="str">
        <f t="shared" si="1"/>
        <v>9990006181OMRON HEALTHCARE BRASIL INDUSTRIA E9751,62</v>
      </c>
      <c r="B114" t="s">
        <v>2057</v>
      </c>
      <c r="C114">
        <v>9990006181</v>
      </c>
      <c r="D114" s="2">
        <v>44663</v>
      </c>
      <c r="E114" t="s">
        <v>0</v>
      </c>
      <c r="F114" t="s">
        <v>1</v>
      </c>
      <c r="G114" t="s">
        <v>655</v>
      </c>
      <c r="H114" t="s">
        <v>656</v>
      </c>
      <c r="J114" s="3" t="s">
        <v>4</v>
      </c>
      <c r="K114" s="2">
        <v>44693</v>
      </c>
      <c r="L114" s="4">
        <v>9751.6200000000008</v>
      </c>
      <c r="M114" t="s">
        <v>5</v>
      </c>
      <c r="N114" s="4">
        <v>9751.6200000000008</v>
      </c>
      <c r="O114" t="s">
        <v>657</v>
      </c>
      <c r="P114" s="4">
        <v>8849.6</v>
      </c>
      <c r="Q114" s="5">
        <v>49</v>
      </c>
      <c r="R114" t="s">
        <v>658</v>
      </c>
      <c r="S114" t="s">
        <v>659</v>
      </c>
      <c r="T114" t="s">
        <v>4</v>
      </c>
      <c r="U114" t="s">
        <v>660</v>
      </c>
      <c r="V114" s="2">
        <v>44743</v>
      </c>
      <c r="W114" t="s">
        <v>10</v>
      </c>
    </row>
    <row r="115" spans="1:23" ht="14.1" customHeight="1" outlineLevel="2" x14ac:dyDescent="0.25">
      <c r="A115" t="str">
        <f t="shared" si="1"/>
        <v>9990006183KNIT COMERCIO DE ARTIGOS ESPORTIVOS51332,4</v>
      </c>
      <c r="B115" t="s">
        <v>2058</v>
      </c>
      <c r="C115">
        <v>9990006183</v>
      </c>
      <c r="D115" s="2">
        <v>44389</v>
      </c>
      <c r="E115" t="s">
        <v>0</v>
      </c>
      <c r="F115" t="s">
        <v>1</v>
      </c>
      <c r="G115" t="s">
        <v>661</v>
      </c>
      <c r="H115" t="s">
        <v>662</v>
      </c>
      <c r="J115" s="3" t="s">
        <v>4</v>
      </c>
      <c r="K115" s="2">
        <v>44449</v>
      </c>
      <c r="L115" s="4">
        <v>51332.4</v>
      </c>
      <c r="M115" t="s">
        <v>5</v>
      </c>
      <c r="N115" s="4">
        <v>51332.4</v>
      </c>
      <c r="O115" t="s">
        <v>663</v>
      </c>
      <c r="P115" s="4">
        <v>46584.160000000003</v>
      </c>
      <c r="Q115" s="5">
        <v>293</v>
      </c>
      <c r="R115" t="s">
        <v>664</v>
      </c>
      <c r="S115" t="s">
        <v>665</v>
      </c>
      <c r="T115" t="s">
        <v>666</v>
      </c>
      <c r="U115" t="s">
        <v>667</v>
      </c>
      <c r="V115" s="2">
        <v>44743</v>
      </c>
      <c r="W115" t="s">
        <v>10</v>
      </c>
    </row>
    <row r="116" spans="1:23" ht="14.1" customHeight="1" outlineLevel="2" x14ac:dyDescent="0.25">
      <c r="A116" t="str">
        <f t="shared" si="1"/>
        <v>9990006187Nestlé Brasil LTDA2500</v>
      </c>
      <c r="B116" t="s">
        <v>2059</v>
      </c>
      <c r="C116">
        <v>9990006187</v>
      </c>
      <c r="D116" s="2">
        <v>44482</v>
      </c>
      <c r="E116" t="s">
        <v>0</v>
      </c>
      <c r="F116" t="s">
        <v>1</v>
      </c>
      <c r="G116" t="s">
        <v>668</v>
      </c>
      <c r="H116" t="s">
        <v>669</v>
      </c>
      <c r="J116" s="3" t="s">
        <v>4</v>
      </c>
      <c r="K116" s="2">
        <v>44659</v>
      </c>
      <c r="L116" s="4">
        <v>2500</v>
      </c>
      <c r="M116" t="s">
        <v>5</v>
      </c>
      <c r="N116" s="4">
        <v>2500</v>
      </c>
      <c r="O116" t="s">
        <v>670</v>
      </c>
      <c r="P116" s="4">
        <v>2268.75</v>
      </c>
      <c r="Q116" s="5">
        <v>83</v>
      </c>
      <c r="R116" t="s">
        <v>671</v>
      </c>
      <c r="S116" t="s">
        <v>672</v>
      </c>
      <c r="T116" t="s">
        <v>38</v>
      </c>
      <c r="U116" t="s">
        <v>673</v>
      </c>
      <c r="V116" s="2">
        <v>44743</v>
      </c>
      <c r="W116" t="s">
        <v>10</v>
      </c>
    </row>
    <row r="117" spans="1:23" ht="14.1" customHeight="1" outlineLevel="2" x14ac:dyDescent="0.25">
      <c r="A117" t="str">
        <f t="shared" si="1"/>
        <v>9990006192Companhia Brasileira de Distribuiçã481880,8</v>
      </c>
      <c r="B117" t="s">
        <v>2060</v>
      </c>
      <c r="C117">
        <v>9990006192</v>
      </c>
      <c r="D117" s="2">
        <v>44663</v>
      </c>
      <c r="E117" t="s">
        <v>0</v>
      </c>
      <c r="F117" t="s">
        <v>1</v>
      </c>
      <c r="G117" t="s">
        <v>674</v>
      </c>
      <c r="H117" t="s">
        <v>675</v>
      </c>
      <c r="J117" s="3" t="s">
        <v>4</v>
      </c>
      <c r="K117" s="2">
        <v>44723</v>
      </c>
      <c r="L117" s="4">
        <v>481880.8</v>
      </c>
      <c r="M117" t="s">
        <v>5</v>
      </c>
      <c r="N117" s="4">
        <v>481880.8</v>
      </c>
      <c r="O117" t="s">
        <v>676</v>
      </c>
      <c r="P117" s="4">
        <v>437306.82</v>
      </c>
      <c r="Q117" s="5">
        <v>19</v>
      </c>
      <c r="R117" t="s">
        <v>677</v>
      </c>
      <c r="S117" t="s">
        <v>678</v>
      </c>
      <c r="T117" t="s">
        <v>4</v>
      </c>
      <c r="U117" t="s">
        <v>679</v>
      </c>
      <c r="V117" s="2">
        <v>44743</v>
      </c>
      <c r="W117" t="s">
        <v>10</v>
      </c>
    </row>
    <row r="118" spans="1:23" ht="14.1" customHeight="1" outlineLevel="2" x14ac:dyDescent="0.25">
      <c r="A118" t="str">
        <f t="shared" si="1"/>
        <v>9990006240BACARDI MARTINI DO BRASIL INDUSTRIA40354</v>
      </c>
      <c r="B118" t="s">
        <v>2061</v>
      </c>
      <c r="C118">
        <v>9990006240</v>
      </c>
      <c r="D118" s="2">
        <v>44602</v>
      </c>
      <c r="E118" t="s">
        <v>0</v>
      </c>
      <c r="F118" t="s">
        <v>1</v>
      </c>
      <c r="G118" t="s">
        <v>680</v>
      </c>
      <c r="H118" t="s">
        <v>681</v>
      </c>
      <c r="J118" s="3" t="s">
        <v>4</v>
      </c>
      <c r="K118" s="2">
        <v>44662</v>
      </c>
      <c r="L118" s="4">
        <v>40354</v>
      </c>
      <c r="M118" t="s">
        <v>5</v>
      </c>
      <c r="N118" s="4">
        <v>40354</v>
      </c>
      <c r="O118" t="s">
        <v>682</v>
      </c>
      <c r="P118" s="4">
        <v>36621.26</v>
      </c>
      <c r="Q118" s="5">
        <v>80</v>
      </c>
      <c r="R118" t="s">
        <v>683</v>
      </c>
      <c r="S118" t="s">
        <v>684</v>
      </c>
      <c r="T118" t="s">
        <v>4</v>
      </c>
      <c r="U118" t="s">
        <v>685</v>
      </c>
      <c r="V118" s="2">
        <v>44743</v>
      </c>
      <c r="W118" t="s">
        <v>10</v>
      </c>
    </row>
    <row r="119" spans="1:23" ht="14.1" customHeight="1" outlineLevel="2" x14ac:dyDescent="0.25">
      <c r="A119" t="str">
        <f t="shared" si="1"/>
        <v>9990006240BACARDI MARTINI DO BRASIL INDUSTRIA37152,53</v>
      </c>
      <c r="B119" t="s">
        <v>2062</v>
      </c>
      <c r="C119">
        <v>9990006240</v>
      </c>
      <c r="D119" s="2">
        <v>44571</v>
      </c>
      <c r="E119" t="s">
        <v>0</v>
      </c>
      <c r="F119" t="s">
        <v>1</v>
      </c>
      <c r="G119" t="s">
        <v>686</v>
      </c>
      <c r="H119" t="s">
        <v>681</v>
      </c>
      <c r="J119" s="3" t="s">
        <v>4</v>
      </c>
      <c r="K119" s="2">
        <v>44631</v>
      </c>
      <c r="L119" s="4">
        <v>37152.53</v>
      </c>
      <c r="M119" t="s">
        <v>5</v>
      </c>
      <c r="N119" s="4">
        <v>37152.53</v>
      </c>
      <c r="O119" t="s">
        <v>687</v>
      </c>
      <c r="P119" s="4">
        <v>33715.93</v>
      </c>
      <c r="Q119" s="5">
        <v>111</v>
      </c>
      <c r="R119" t="s">
        <v>688</v>
      </c>
      <c r="S119" t="s">
        <v>689</v>
      </c>
      <c r="T119" t="s">
        <v>690</v>
      </c>
      <c r="U119" t="s">
        <v>691</v>
      </c>
      <c r="V119" s="2">
        <v>44743</v>
      </c>
      <c r="W119" t="s">
        <v>10</v>
      </c>
    </row>
    <row r="120" spans="1:23" ht="14.1" customHeight="1" outlineLevel="2" x14ac:dyDescent="0.25">
      <c r="A120" t="str">
        <f t="shared" si="1"/>
        <v>9990006244ARMAZEM BRASIL COMERCIO DE COUROS E-219</v>
      </c>
      <c r="B120" t="s">
        <v>2063</v>
      </c>
      <c r="C120">
        <v>9990006244</v>
      </c>
      <c r="D120" s="2">
        <v>44449</v>
      </c>
      <c r="E120" t="s">
        <v>692</v>
      </c>
      <c r="F120" t="s">
        <v>12</v>
      </c>
      <c r="G120" t="s">
        <v>693</v>
      </c>
      <c r="H120" t="s">
        <v>694</v>
      </c>
      <c r="J120" s="3" t="s">
        <v>4</v>
      </c>
      <c r="K120" s="2">
        <v>44449</v>
      </c>
      <c r="L120" s="4">
        <v>-219</v>
      </c>
      <c r="M120" t="s">
        <v>5</v>
      </c>
      <c r="N120" s="4">
        <v>-219</v>
      </c>
      <c r="O120" t="s">
        <v>695</v>
      </c>
      <c r="P120" s="4">
        <v>198.75</v>
      </c>
      <c r="Q120" s="5">
        <v>293</v>
      </c>
      <c r="R120" t="s">
        <v>696</v>
      </c>
      <c r="S120" t="s">
        <v>697</v>
      </c>
      <c r="T120" t="s">
        <v>26</v>
      </c>
      <c r="U120" t="s">
        <v>698</v>
      </c>
      <c r="V120" s="2">
        <v>44743</v>
      </c>
      <c r="W120" t="s">
        <v>10</v>
      </c>
    </row>
    <row r="121" spans="1:23" ht="14.1" customHeight="1" outlineLevel="2" x14ac:dyDescent="0.25">
      <c r="A121" t="str">
        <f t="shared" si="1"/>
        <v>9990006296ICONIC LUBRIFICANTES S.A-4003,58</v>
      </c>
      <c r="B121" t="s">
        <v>2064</v>
      </c>
      <c r="C121">
        <v>9990006296</v>
      </c>
      <c r="D121" s="2">
        <v>44489</v>
      </c>
      <c r="E121" t="s">
        <v>699</v>
      </c>
      <c r="F121" t="s">
        <v>12</v>
      </c>
      <c r="G121" t="s">
        <v>700</v>
      </c>
      <c r="H121" t="s">
        <v>701</v>
      </c>
      <c r="J121" s="3" t="s">
        <v>4</v>
      </c>
      <c r="K121" s="2">
        <v>44489</v>
      </c>
      <c r="L121" s="4">
        <v>-4003.58</v>
      </c>
      <c r="M121" t="s">
        <v>5</v>
      </c>
      <c r="N121" s="4">
        <v>-4003.58</v>
      </c>
      <c r="O121" t="s">
        <v>702</v>
      </c>
      <c r="P121" s="4">
        <v>3633.25</v>
      </c>
      <c r="Q121" s="5">
        <v>253</v>
      </c>
      <c r="R121" t="s">
        <v>703</v>
      </c>
      <c r="S121" t="s">
        <v>704</v>
      </c>
      <c r="T121" t="s">
        <v>26</v>
      </c>
      <c r="U121" t="s">
        <v>705</v>
      </c>
      <c r="V121" s="2">
        <v>44743</v>
      </c>
      <c r="W121" t="s">
        <v>10</v>
      </c>
    </row>
    <row r="122" spans="1:23" ht="14.1" customHeight="1" outlineLevel="2" x14ac:dyDescent="0.25">
      <c r="A122" t="str">
        <f t="shared" si="1"/>
        <v>9990006297Elian Industria Textil LTDA48654</v>
      </c>
      <c r="B122" t="s">
        <v>2065</v>
      </c>
      <c r="C122">
        <v>9990006297</v>
      </c>
      <c r="D122" s="2">
        <v>44449</v>
      </c>
      <c r="E122" t="s">
        <v>0</v>
      </c>
      <c r="F122" t="s">
        <v>1</v>
      </c>
      <c r="G122" t="s">
        <v>706</v>
      </c>
      <c r="H122" t="s">
        <v>707</v>
      </c>
      <c r="J122" s="3" t="s">
        <v>4</v>
      </c>
      <c r="K122" s="2">
        <v>44509</v>
      </c>
      <c r="L122" s="4">
        <v>48654</v>
      </c>
      <c r="M122" t="s">
        <v>5</v>
      </c>
      <c r="N122" s="4">
        <v>48654</v>
      </c>
      <c r="O122" t="s">
        <v>708</v>
      </c>
      <c r="P122" s="4">
        <v>44153.51</v>
      </c>
      <c r="Q122" s="5">
        <v>233</v>
      </c>
      <c r="R122" t="s">
        <v>709</v>
      </c>
      <c r="S122" t="s">
        <v>710</v>
      </c>
      <c r="T122" t="s">
        <v>26</v>
      </c>
      <c r="U122" t="s">
        <v>711</v>
      </c>
      <c r="V122" s="2">
        <v>44743</v>
      </c>
      <c r="W122" t="s">
        <v>10</v>
      </c>
    </row>
    <row r="123" spans="1:23" ht="14.1" customHeight="1" outlineLevel="2" x14ac:dyDescent="0.25">
      <c r="A123" t="str">
        <f t="shared" si="1"/>
        <v>9990006334SYNAPCOM COMERCIO ELETRONICO LTDA15054</v>
      </c>
      <c r="B123" t="s">
        <v>2066</v>
      </c>
      <c r="C123">
        <v>9990006334</v>
      </c>
      <c r="D123" s="2">
        <v>44630</v>
      </c>
      <c r="E123" t="s">
        <v>0</v>
      </c>
      <c r="F123" t="s">
        <v>1</v>
      </c>
      <c r="G123" t="s">
        <v>712</v>
      </c>
      <c r="H123" t="s">
        <v>713</v>
      </c>
      <c r="J123" s="3" t="s">
        <v>4</v>
      </c>
      <c r="K123" s="2">
        <v>44660</v>
      </c>
      <c r="L123" s="4">
        <v>15054</v>
      </c>
      <c r="M123" t="s">
        <v>5</v>
      </c>
      <c r="N123" s="4">
        <v>15054</v>
      </c>
      <c r="O123" t="s">
        <v>714</v>
      </c>
      <c r="P123" s="4">
        <v>13661.5</v>
      </c>
      <c r="Q123" s="5">
        <v>82</v>
      </c>
      <c r="R123" t="s">
        <v>715</v>
      </c>
      <c r="S123" t="s">
        <v>716</v>
      </c>
      <c r="T123" t="s">
        <v>717</v>
      </c>
      <c r="U123" t="s">
        <v>718</v>
      </c>
      <c r="V123" s="2">
        <v>44743</v>
      </c>
      <c r="W123" t="s">
        <v>10</v>
      </c>
    </row>
    <row r="124" spans="1:23" ht="14.1" customHeight="1" outlineLevel="2" x14ac:dyDescent="0.25">
      <c r="A124" t="str">
        <f t="shared" si="1"/>
        <v>9990006461WCT Fitness ltda-185749,98</v>
      </c>
      <c r="B124" t="s">
        <v>2067</v>
      </c>
      <c r="C124">
        <v>9990006461</v>
      </c>
      <c r="D124" s="2">
        <v>44692</v>
      </c>
      <c r="E124" t="s">
        <v>4</v>
      </c>
      <c r="F124" t="s">
        <v>12</v>
      </c>
      <c r="G124" t="s">
        <v>719</v>
      </c>
      <c r="H124" t="s">
        <v>720</v>
      </c>
      <c r="J124" s="3" t="s">
        <v>4</v>
      </c>
      <c r="K124" s="2">
        <v>44691</v>
      </c>
      <c r="L124" s="4">
        <v>-185749.98</v>
      </c>
      <c r="M124" t="s">
        <v>5</v>
      </c>
      <c r="N124" s="4">
        <v>-185749.98</v>
      </c>
      <c r="O124" t="s">
        <v>4</v>
      </c>
      <c r="P124" s="4">
        <v>0</v>
      </c>
      <c r="Q124" s="5">
        <v>51</v>
      </c>
      <c r="R124" t="s">
        <v>4</v>
      </c>
      <c r="S124" t="s">
        <v>4</v>
      </c>
      <c r="T124" t="s">
        <v>4</v>
      </c>
      <c r="U124" t="s">
        <v>721</v>
      </c>
      <c r="V124" s="2">
        <v>44743</v>
      </c>
      <c r="W124" t="s">
        <v>10</v>
      </c>
    </row>
    <row r="125" spans="1:23" ht="14.1" customHeight="1" outlineLevel="2" x14ac:dyDescent="0.25">
      <c r="A125" t="str">
        <f t="shared" si="1"/>
        <v>9990006461WCT Fitness ltda-185749,98</v>
      </c>
      <c r="B125" t="s">
        <v>2067</v>
      </c>
      <c r="C125">
        <v>9990006461</v>
      </c>
      <c r="D125" s="2">
        <v>44673</v>
      </c>
      <c r="E125" t="s">
        <v>4</v>
      </c>
      <c r="F125" t="s">
        <v>12</v>
      </c>
      <c r="G125" t="s">
        <v>722</v>
      </c>
      <c r="H125" t="s">
        <v>720</v>
      </c>
      <c r="J125" s="3" t="s">
        <v>4</v>
      </c>
      <c r="K125" s="2">
        <v>44662</v>
      </c>
      <c r="L125" s="4">
        <v>-185749.98</v>
      </c>
      <c r="M125" t="s">
        <v>5</v>
      </c>
      <c r="N125" s="4">
        <v>-185749.98</v>
      </c>
      <c r="O125" t="s">
        <v>4</v>
      </c>
      <c r="P125" s="4">
        <v>0</v>
      </c>
      <c r="Q125" s="5">
        <v>80</v>
      </c>
      <c r="R125" t="s">
        <v>4</v>
      </c>
      <c r="S125" t="s">
        <v>4</v>
      </c>
      <c r="T125" t="s">
        <v>723</v>
      </c>
      <c r="U125" t="s">
        <v>724</v>
      </c>
      <c r="V125" s="2">
        <v>44743</v>
      </c>
      <c r="W125" t="s">
        <v>10</v>
      </c>
    </row>
    <row r="126" spans="1:23" ht="14.1" customHeight="1" outlineLevel="2" x14ac:dyDescent="0.25">
      <c r="A126" t="str">
        <f t="shared" si="1"/>
        <v>9990006461WCT Fitness ltda-185749,98</v>
      </c>
      <c r="B126" t="s">
        <v>2067</v>
      </c>
      <c r="C126">
        <v>9990006461</v>
      </c>
      <c r="D126" s="2">
        <v>44725</v>
      </c>
      <c r="E126" t="s">
        <v>4</v>
      </c>
      <c r="F126" t="s">
        <v>12</v>
      </c>
      <c r="G126" t="s">
        <v>725</v>
      </c>
      <c r="H126" t="s">
        <v>720</v>
      </c>
      <c r="J126" s="3" t="s">
        <v>4</v>
      </c>
      <c r="K126" s="2">
        <v>44722</v>
      </c>
      <c r="L126" s="4">
        <v>-185749.98</v>
      </c>
      <c r="M126" t="s">
        <v>5</v>
      </c>
      <c r="N126" s="4">
        <v>-185749.98</v>
      </c>
      <c r="O126" t="s">
        <v>4</v>
      </c>
      <c r="P126" s="4">
        <v>0</v>
      </c>
      <c r="Q126" s="5">
        <v>20</v>
      </c>
      <c r="R126" t="s">
        <v>4</v>
      </c>
      <c r="S126" t="s">
        <v>4</v>
      </c>
      <c r="T126" t="s">
        <v>726</v>
      </c>
      <c r="U126" t="s">
        <v>727</v>
      </c>
      <c r="V126" s="2">
        <v>44743</v>
      </c>
      <c r="W126" t="s">
        <v>10</v>
      </c>
    </row>
    <row r="127" spans="1:23" ht="14.1" customHeight="1" outlineLevel="2" x14ac:dyDescent="0.25">
      <c r="A127" t="str">
        <f t="shared" si="1"/>
        <v>9990006571ESTRELA DE OURO JOIAS E RELOGIOS LT30000</v>
      </c>
      <c r="B127" t="s">
        <v>2068</v>
      </c>
      <c r="C127">
        <v>9990006571</v>
      </c>
      <c r="D127" s="2">
        <v>44467</v>
      </c>
      <c r="E127" t="s">
        <v>0</v>
      </c>
      <c r="F127" t="s">
        <v>1</v>
      </c>
      <c r="G127" t="s">
        <v>728</v>
      </c>
      <c r="H127" t="s">
        <v>729</v>
      </c>
      <c r="J127" s="3" t="s">
        <v>4</v>
      </c>
      <c r="K127" s="2">
        <v>44497</v>
      </c>
      <c r="L127" s="4">
        <v>30000</v>
      </c>
      <c r="M127" t="s">
        <v>5</v>
      </c>
      <c r="N127" s="4">
        <v>30000</v>
      </c>
      <c r="O127" t="s">
        <v>730</v>
      </c>
      <c r="P127" s="4">
        <v>27225</v>
      </c>
      <c r="Q127" s="5">
        <v>245</v>
      </c>
      <c r="R127" t="s">
        <v>731</v>
      </c>
      <c r="S127" t="s">
        <v>732</v>
      </c>
      <c r="T127" t="s">
        <v>26</v>
      </c>
      <c r="U127" t="s">
        <v>733</v>
      </c>
      <c r="V127" s="2">
        <v>44743</v>
      </c>
      <c r="W127" t="s">
        <v>10</v>
      </c>
    </row>
    <row r="128" spans="1:23" ht="14.1" customHeight="1" outlineLevel="2" x14ac:dyDescent="0.25">
      <c r="A128" t="str">
        <f t="shared" si="1"/>
        <v>9990006571ESTRELA DE OURO JOIAS E RELOGIOS LT30000</v>
      </c>
      <c r="B128" t="s">
        <v>2068</v>
      </c>
      <c r="C128">
        <v>9990006571</v>
      </c>
      <c r="D128" s="2">
        <v>44482</v>
      </c>
      <c r="E128" t="s">
        <v>0</v>
      </c>
      <c r="F128" t="s">
        <v>1</v>
      </c>
      <c r="G128" t="s">
        <v>734</v>
      </c>
      <c r="H128" t="s">
        <v>729</v>
      </c>
      <c r="J128" s="3" t="s">
        <v>4</v>
      </c>
      <c r="K128" s="2">
        <v>44512</v>
      </c>
      <c r="L128" s="4">
        <v>30000</v>
      </c>
      <c r="M128" t="s">
        <v>5</v>
      </c>
      <c r="N128" s="4">
        <v>30000</v>
      </c>
      <c r="O128" t="s">
        <v>735</v>
      </c>
      <c r="P128" s="4">
        <v>27225</v>
      </c>
      <c r="Q128" s="5">
        <v>230</v>
      </c>
      <c r="R128" t="s">
        <v>736</v>
      </c>
      <c r="S128" t="s">
        <v>737</v>
      </c>
      <c r="T128" t="s">
        <v>26</v>
      </c>
      <c r="U128" t="s">
        <v>738</v>
      </c>
      <c r="V128" s="2">
        <v>44743</v>
      </c>
      <c r="W128" t="s">
        <v>10</v>
      </c>
    </row>
    <row r="129" spans="1:23" ht="14.1" customHeight="1" outlineLevel="2" x14ac:dyDescent="0.25">
      <c r="A129" t="str">
        <f t="shared" si="1"/>
        <v>9990006575DEPOSITO DOS COPOS LTDA16290</v>
      </c>
      <c r="B129" t="s">
        <v>2069</v>
      </c>
      <c r="C129">
        <v>9990006575</v>
      </c>
      <c r="D129" s="2">
        <v>44482</v>
      </c>
      <c r="E129" t="s">
        <v>0</v>
      </c>
      <c r="F129" t="s">
        <v>1</v>
      </c>
      <c r="G129" t="s">
        <v>739</v>
      </c>
      <c r="H129" t="s">
        <v>740</v>
      </c>
      <c r="J129" s="3" t="s">
        <v>4</v>
      </c>
      <c r="K129" s="2">
        <v>44512</v>
      </c>
      <c r="L129" s="4">
        <v>16290</v>
      </c>
      <c r="M129" t="s">
        <v>5</v>
      </c>
      <c r="N129" s="4">
        <v>16290</v>
      </c>
      <c r="O129" t="s">
        <v>741</v>
      </c>
      <c r="P129" s="4">
        <v>14783.17</v>
      </c>
      <c r="Q129" s="5">
        <v>230</v>
      </c>
      <c r="R129" t="s">
        <v>742</v>
      </c>
      <c r="S129" t="s">
        <v>743</v>
      </c>
      <c r="T129" t="s">
        <v>744</v>
      </c>
      <c r="U129" t="s">
        <v>745</v>
      </c>
      <c r="V129" s="2">
        <v>44743</v>
      </c>
      <c r="W129" t="s">
        <v>10</v>
      </c>
    </row>
    <row r="130" spans="1:23" ht="14.1" customHeight="1" outlineLevel="2" x14ac:dyDescent="0.25">
      <c r="A130" t="str">
        <f t="shared" si="1"/>
        <v>9990006575DEPOSITO DOS COPOS LTDA13347</v>
      </c>
      <c r="B130" t="s">
        <v>2070</v>
      </c>
      <c r="C130">
        <v>9990006575</v>
      </c>
      <c r="D130" s="2">
        <v>44510</v>
      </c>
      <c r="E130" t="s">
        <v>0</v>
      </c>
      <c r="F130" t="s">
        <v>1</v>
      </c>
      <c r="G130" t="s">
        <v>746</v>
      </c>
      <c r="H130" t="s">
        <v>740</v>
      </c>
      <c r="J130" s="3" t="s">
        <v>4</v>
      </c>
      <c r="K130" s="2">
        <v>44540</v>
      </c>
      <c r="L130" s="4">
        <v>13347</v>
      </c>
      <c r="M130" t="s">
        <v>5</v>
      </c>
      <c r="N130" s="4">
        <v>13347</v>
      </c>
      <c r="O130" t="s">
        <v>747</v>
      </c>
      <c r="P130" s="4">
        <v>12112.4</v>
      </c>
      <c r="Q130" s="5">
        <v>202</v>
      </c>
      <c r="R130" t="s">
        <v>748</v>
      </c>
      <c r="S130" t="s">
        <v>749</v>
      </c>
      <c r="T130" t="s">
        <v>750</v>
      </c>
      <c r="U130" t="s">
        <v>751</v>
      </c>
      <c r="V130" s="2">
        <v>44743</v>
      </c>
      <c r="W130" t="s">
        <v>10</v>
      </c>
    </row>
    <row r="131" spans="1:23" ht="14.1" customHeight="1" outlineLevel="2" x14ac:dyDescent="0.25">
      <c r="A131" t="str">
        <f t="shared" ref="A131:A194" si="2">+C131&amp;H131&amp;L131</f>
        <v>9990008116Mercado Seller Consultoria Ltda20998</v>
      </c>
      <c r="B131" t="s">
        <v>2071</v>
      </c>
      <c r="C131">
        <v>9990008116</v>
      </c>
      <c r="D131" s="2">
        <v>44510</v>
      </c>
      <c r="E131" t="s">
        <v>0</v>
      </c>
      <c r="F131" t="s">
        <v>1</v>
      </c>
      <c r="G131" t="s">
        <v>752</v>
      </c>
      <c r="H131" t="s">
        <v>753</v>
      </c>
      <c r="J131" s="3" t="s">
        <v>4</v>
      </c>
      <c r="K131" s="2">
        <v>44697</v>
      </c>
      <c r="L131" s="4">
        <v>20998</v>
      </c>
      <c r="M131" t="s">
        <v>5</v>
      </c>
      <c r="N131" s="4">
        <v>20998</v>
      </c>
      <c r="O131" t="s">
        <v>754</v>
      </c>
      <c r="P131" s="4">
        <v>19055.68</v>
      </c>
      <c r="Q131" s="5">
        <v>45</v>
      </c>
      <c r="R131" t="s">
        <v>755</v>
      </c>
      <c r="S131" t="s">
        <v>756</v>
      </c>
      <c r="T131" t="s">
        <v>38</v>
      </c>
      <c r="U131" t="s">
        <v>757</v>
      </c>
      <c r="V131" s="2">
        <v>44743</v>
      </c>
      <c r="W131" t="s">
        <v>10</v>
      </c>
    </row>
    <row r="132" spans="1:23" ht="14.1" customHeight="1" outlineLevel="2" x14ac:dyDescent="0.25">
      <c r="A132" t="str">
        <f t="shared" si="2"/>
        <v>9990008117VIVER DE ECOMMERCE NEGÓCIOS DIGITAI43000</v>
      </c>
      <c r="B132" t="s">
        <v>2072</v>
      </c>
      <c r="C132">
        <v>9990008117</v>
      </c>
      <c r="D132" s="2">
        <v>44510</v>
      </c>
      <c r="E132" t="s">
        <v>0</v>
      </c>
      <c r="F132" t="s">
        <v>1</v>
      </c>
      <c r="G132" t="s">
        <v>758</v>
      </c>
      <c r="H132" t="s">
        <v>759</v>
      </c>
      <c r="J132" s="3" t="s">
        <v>4</v>
      </c>
      <c r="K132" s="2">
        <v>44540</v>
      </c>
      <c r="L132" s="4">
        <v>43000</v>
      </c>
      <c r="M132" t="s">
        <v>5</v>
      </c>
      <c r="N132" s="4">
        <v>43000</v>
      </c>
      <c r="O132" t="s">
        <v>760</v>
      </c>
      <c r="P132" s="4">
        <v>39022.5</v>
      </c>
      <c r="Q132" s="5">
        <v>202</v>
      </c>
      <c r="R132" t="s">
        <v>761</v>
      </c>
      <c r="S132" t="s">
        <v>762</v>
      </c>
      <c r="T132" t="s">
        <v>38</v>
      </c>
      <c r="U132" t="s">
        <v>763</v>
      </c>
      <c r="V132" s="2">
        <v>44743</v>
      </c>
      <c r="W132" t="s">
        <v>10</v>
      </c>
    </row>
    <row r="133" spans="1:23" ht="14.1" customHeight="1" outlineLevel="2" x14ac:dyDescent="0.25">
      <c r="A133" t="str">
        <f t="shared" si="2"/>
        <v>9990008118Eficaz Tecnologia e Serviços LTDA-5199,2</v>
      </c>
      <c r="B133" t="s">
        <v>2073</v>
      </c>
      <c r="C133">
        <v>9990008118</v>
      </c>
      <c r="D133" s="2">
        <v>44630</v>
      </c>
      <c r="E133" t="s">
        <v>764</v>
      </c>
      <c r="F133" t="s">
        <v>12</v>
      </c>
      <c r="G133" t="s">
        <v>765</v>
      </c>
      <c r="H133" t="s">
        <v>766</v>
      </c>
      <c r="J133" s="3" t="s">
        <v>4</v>
      </c>
      <c r="K133" s="2">
        <v>44630</v>
      </c>
      <c r="L133" s="4">
        <v>-5199.2</v>
      </c>
      <c r="M133" t="s">
        <v>5</v>
      </c>
      <c r="N133" s="4">
        <v>-5199.2</v>
      </c>
      <c r="O133" t="s">
        <v>767</v>
      </c>
      <c r="P133" s="4">
        <v>4718.2700000000004</v>
      </c>
      <c r="Q133" s="5">
        <v>112</v>
      </c>
      <c r="R133" t="s">
        <v>768</v>
      </c>
      <c r="S133" t="s">
        <v>769</v>
      </c>
      <c r="T133" t="s">
        <v>4</v>
      </c>
      <c r="U133" t="s">
        <v>770</v>
      </c>
      <c r="V133" s="2">
        <v>44743</v>
      </c>
      <c r="W133" t="s">
        <v>10</v>
      </c>
    </row>
    <row r="134" spans="1:23" ht="14.1" customHeight="1" outlineLevel="2" x14ac:dyDescent="0.25">
      <c r="A134" t="str">
        <f t="shared" si="2"/>
        <v>9990008118Eficaz Tecnologia e Serviços LTDA519920</v>
      </c>
      <c r="B134" t="s">
        <v>2074</v>
      </c>
      <c r="C134">
        <v>9990008118</v>
      </c>
      <c r="D134" s="2">
        <v>44581</v>
      </c>
      <c r="E134" t="s">
        <v>0</v>
      </c>
      <c r="F134" t="s">
        <v>1</v>
      </c>
      <c r="G134" t="s">
        <v>771</v>
      </c>
      <c r="H134" t="s">
        <v>766</v>
      </c>
      <c r="J134" s="3" t="s">
        <v>4</v>
      </c>
      <c r="K134" s="2">
        <v>44611</v>
      </c>
      <c r="L134" s="4">
        <v>519920</v>
      </c>
      <c r="M134" t="s">
        <v>5</v>
      </c>
      <c r="N134" s="4">
        <v>519920</v>
      </c>
      <c r="O134" t="s">
        <v>772</v>
      </c>
      <c r="P134" s="4">
        <v>471827.4</v>
      </c>
      <c r="Q134" s="5">
        <v>131</v>
      </c>
      <c r="R134" t="s">
        <v>773</v>
      </c>
      <c r="S134" t="s">
        <v>774</v>
      </c>
      <c r="T134" t="s">
        <v>4</v>
      </c>
      <c r="U134" t="s">
        <v>775</v>
      </c>
      <c r="V134" s="2">
        <v>44743</v>
      </c>
      <c r="W134" t="s">
        <v>10</v>
      </c>
    </row>
    <row r="135" spans="1:23" ht="14.1" customHeight="1" outlineLevel="2" x14ac:dyDescent="0.25">
      <c r="A135" t="str">
        <f t="shared" si="2"/>
        <v>9990008118Eficaz Tecnologia e Serviços LTDA-514721</v>
      </c>
      <c r="B135" t="s">
        <v>2075</v>
      </c>
      <c r="C135">
        <v>9990008118</v>
      </c>
      <c r="D135" s="2">
        <v>44728</v>
      </c>
      <c r="E135" t="s">
        <v>776</v>
      </c>
      <c r="F135" t="s">
        <v>12</v>
      </c>
      <c r="G135" t="s">
        <v>777</v>
      </c>
      <c r="H135" t="s">
        <v>766</v>
      </c>
      <c r="J135" s="3" t="s">
        <v>4</v>
      </c>
      <c r="K135" s="2">
        <v>44728</v>
      </c>
      <c r="L135" s="4">
        <v>-514721</v>
      </c>
      <c r="M135" t="s">
        <v>5</v>
      </c>
      <c r="N135" s="4">
        <v>-514721</v>
      </c>
      <c r="O135" t="s">
        <v>4</v>
      </c>
      <c r="P135" s="4">
        <v>467109.3</v>
      </c>
      <c r="Q135" s="5">
        <v>14</v>
      </c>
      <c r="R135" t="s">
        <v>778</v>
      </c>
      <c r="S135" t="s">
        <v>779</v>
      </c>
      <c r="T135" t="s">
        <v>4</v>
      </c>
      <c r="U135" t="s">
        <v>780</v>
      </c>
      <c r="V135" s="2">
        <v>44743</v>
      </c>
      <c r="W135" t="s">
        <v>10</v>
      </c>
    </row>
    <row r="136" spans="1:23" ht="14.1" customHeight="1" outlineLevel="2" x14ac:dyDescent="0.25">
      <c r="A136" t="str">
        <f t="shared" si="2"/>
        <v>9990008186Heinz Brasil S.a.1634,57</v>
      </c>
      <c r="B136" t="s">
        <v>2076</v>
      </c>
      <c r="C136">
        <v>9990008186</v>
      </c>
      <c r="D136" s="2">
        <v>44663</v>
      </c>
      <c r="E136" t="s">
        <v>0</v>
      </c>
      <c r="F136" t="s">
        <v>1</v>
      </c>
      <c r="G136" t="s">
        <v>781</v>
      </c>
      <c r="H136" t="s">
        <v>782</v>
      </c>
      <c r="J136" s="3" t="s">
        <v>4</v>
      </c>
      <c r="K136" s="2">
        <v>44693</v>
      </c>
      <c r="L136" s="4">
        <v>1634.57</v>
      </c>
      <c r="M136" t="s">
        <v>5</v>
      </c>
      <c r="N136" s="4">
        <v>1634.57</v>
      </c>
      <c r="O136" t="s">
        <v>783</v>
      </c>
      <c r="P136" s="4">
        <v>1483.37</v>
      </c>
      <c r="Q136" s="5">
        <v>49</v>
      </c>
      <c r="R136" t="s">
        <v>784</v>
      </c>
      <c r="S136" t="s">
        <v>785</v>
      </c>
      <c r="T136" t="s">
        <v>4</v>
      </c>
      <c r="U136" t="s">
        <v>786</v>
      </c>
      <c r="V136" s="2">
        <v>44743</v>
      </c>
      <c r="W136" t="s">
        <v>10</v>
      </c>
    </row>
    <row r="137" spans="1:23" ht="14.1" customHeight="1" outlineLevel="2" x14ac:dyDescent="0.25">
      <c r="A137" t="str">
        <f t="shared" si="2"/>
        <v>9990008187Campari do Brasil LTDA65379,35</v>
      </c>
      <c r="B137" t="s">
        <v>2077</v>
      </c>
      <c r="C137">
        <v>9990008187</v>
      </c>
      <c r="D137" s="2">
        <v>44663</v>
      </c>
      <c r="E137" t="s">
        <v>0</v>
      </c>
      <c r="F137" t="s">
        <v>1</v>
      </c>
      <c r="G137" t="s">
        <v>787</v>
      </c>
      <c r="H137" t="s">
        <v>788</v>
      </c>
      <c r="J137" s="3" t="s">
        <v>4</v>
      </c>
      <c r="K137" s="2">
        <v>44693</v>
      </c>
      <c r="L137" s="4">
        <v>65379.35</v>
      </c>
      <c r="M137" t="s">
        <v>5</v>
      </c>
      <c r="N137" s="4">
        <v>65379.35</v>
      </c>
      <c r="O137" t="s">
        <v>789</v>
      </c>
      <c r="P137" s="4">
        <v>59331.76</v>
      </c>
      <c r="Q137" s="5">
        <v>49</v>
      </c>
      <c r="R137" t="s">
        <v>790</v>
      </c>
      <c r="S137" t="s">
        <v>791</v>
      </c>
      <c r="T137" t="s">
        <v>792</v>
      </c>
      <c r="U137" t="s">
        <v>793</v>
      </c>
      <c r="V137" s="2">
        <v>44743</v>
      </c>
      <c r="W137" t="s">
        <v>10</v>
      </c>
    </row>
    <row r="138" spans="1:23" ht="14.1" customHeight="1" outlineLevel="2" x14ac:dyDescent="0.25">
      <c r="A138" t="str">
        <f t="shared" si="2"/>
        <v>9990008197SOL-MILLENIUM MEDICAL INC.-19439</v>
      </c>
      <c r="B138" t="s">
        <v>2078</v>
      </c>
      <c r="C138">
        <v>9990008197</v>
      </c>
      <c r="D138" s="2">
        <v>44728</v>
      </c>
      <c r="E138" t="s">
        <v>794</v>
      </c>
      <c r="F138" t="s">
        <v>12</v>
      </c>
      <c r="G138" t="s">
        <v>795</v>
      </c>
      <c r="H138" t="s">
        <v>796</v>
      </c>
      <c r="J138" s="3" t="s">
        <v>4</v>
      </c>
      <c r="K138" s="2">
        <v>44728</v>
      </c>
      <c r="L138" s="4">
        <v>-19439</v>
      </c>
      <c r="M138" t="s">
        <v>5</v>
      </c>
      <c r="N138" s="4">
        <v>-19439</v>
      </c>
      <c r="O138" t="s">
        <v>4</v>
      </c>
      <c r="P138" s="4">
        <v>17640.900000000001</v>
      </c>
      <c r="Q138" s="5">
        <v>14</v>
      </c>
      <c r="R138" t="s">
        <v>797</v>
      </c>
      <c r="S138" t="s">
        <v>798</v>
      </c>
      <c r="T138" t="s">
        <v>4</v>
      </c>
      <c r="U138" t="s">
        <v>799</v>
      </c>
      <c r="V138" s="2">
        <v>44743</v>
      </c>
      <c r="W138" t="s">
        <v>10</v>
      </c>
    </row>
    <row r="139" spans="1:23" ht="14.1" customHeight="1" outlineLevel="2" x14ac:dyDescent="0.25">
      <c r="A139" t="str">
        <f t="shared" si="2"/>
        <v>9990008197SOL-MILLENIUM MEDICAL INC.4576</v>
      </c>
      <c r="B139" t="s">
        <v>2079</v>
      </c>
      <c r="C139">
        <v>9990008197</v>
      </c>
      <c r="D139" s="2">
        <v>44663</v>
      </c>
      <c r="E139" t="s">
        <v>0</v>
      </c>
      <c r="F139" t="s">
        <v>1</v>
      </c>
      <c r="G139" t="s">
        <v>800</v>
      </c>
      <c r="H139" t="s">
        <v>796</v>
      </c>
      <c r="J139" s="3" t="s">
        <v>4</v>
      </c>
      <c r="K139" s="2">
        <v>44693</v>
      </c>
      <c r="L139" s="4">
        <v>4576</v>
      </c>
      <c r="M139" t="s">
        <v>5</v>
      </c>
      <c r="N139" s="4">
        <v>4576</v>
      </c>
      <c r="O139" t="s">
        <v>801</v>
      </c>
      <c r="P139" s="4">
        <v>4152.72</v>
      </c>
      <c r="Q139" s="5">
        <v>49</v>
      </c>
      <c r="R139" t="s">
        <v>802</v>
      </c>
      <c r="S139" t="s">
        <v>803</v>
      </c>
      <c r="T139" t="s">
        <v>804</v>
      </c>
      <c r="U139" t="s">
        <v>805</v>
      </c>
      <c r="V139" s="2">
        <v>44743</v>
      </c>
      <c r="W139" t="s">
        <v>10</v>
      </c>
    </row>
    <row r="140" spans="1:23" ht="14.1" customHeight="1" outlineLevel="2" x14ac:dyDescent="0.25">
      <c r="A140" t="str">
        <f t="shared" si="2"/>
        <v>9990008197SOL-MILLENIUM MEDICAL INC.17706</v>
      </c>
      <c r="B140" t="s">
        <v>2080</v>
      </c>
      <c r="C140">
        <v>9990008197</v>
      </c>
      <c r="D140" s="2">
        <v>44692</v>
      </c>
      <c r="E140" t="s">
        <v>0</v>
      </c>
      <c r="F140" t="s">
        <v>1</v>
      </c>
      <c r="G140" t="s">
        <v>806</v>
      </c>
      <c r="H140" t="s">
        <v>796</v>
      </c>
      <c r="J140" s="3" t="s">
        <v>4</v>
      </c>
      <c r="K140" s="2">
        <v>44722</v>
      </c>
      <c r="L140" s="4">
        <v>17706</v>
      </c>
      <c r="M140" t="s">
        <v>5</v>
      </c>
      <c r="N140" s="4">
        <v>17706</v>
      </c>
      <c r="O140" t="s">
        <v>807</v>
      </c>
      <c r="P140" s="4">
        <v>16068.19</v>
      </c>
      <c r="Q140" s="5">
        <v>20</v>
      </c>
      <c r="R140" t="s">
        <v>808</v>
      </c>
      <c r="S140" t="s">
        <v>809</v>
      </c>
      <c r="T140" t="s">
        <v>4</v>
      </c>
      <c r="U140" t="s">
        <v>810</v>
      </c>
      <c r="V140" s="2">
        <v>44743</v>
      </c>
      <c r="W140" t="s">
        <v>10</v>
      </c>
    </row>
    <row r="141" spans="1:23" ht="14.1" customHeight="1" outlineLevel="2" x14ac:dyDescent="0.25">
      <c r="A141" t="str">
        <f t="shared" si="2"/>
        <v>9990008197SOL-MILLENIUM MEDICAL INC.16016,51</v>
      </c>
      <c r="B141" t="s">
        <v>2081</v>
      </c>
      <c r="C141">
        <v>9990008197</v>
      </c>
      <c r="D141" s="2">
        <v>44663</v>
      </c>
      <c r="E141" t="s">
        <v>0</v>
      </c>
      <c r="F141" t="s">
        <v>1</v>
      </c>
      <c r="G141" t="s">
        <v>811</v>
      </c>
      <c r="H141" t="s">
        <v>796</v>
      </c>
      <c r="J141" s="3" t="s">
        <v>4</v>
      </c>
      <c r="K141" s="2">
        <v>44693</v>
      </c>
      <c r="L141" s="4">
        <v>16016.51</v>
      </c>
      <c r="M141" t="s">
        <v>5</v>
      </c>
      <c r="N141" s="4">
        <v>16016.51</v>
      </c>
      <c r="O141" t="s">
        <v>812</v>
      </c>
      <c r="P141" s="4">
        <v>14534.99</v>
      </c>
      <c r="Q141" s="5">
        <v>49</v>
      </c>
      <c r="R141" t="s">
        <v>813</v>
      </c>
      <c r="S141" t="s">
        <v>814</v>
      </c>
      <c r="T141" t="s">
        <v>815</v>
      </c>
      <c r="U141" t="s">
        <v>816</v>
      </c>
      <c r="V141" s="2">
        <v>44743</v>
      </c>
      <c r="W141" t="s">
        <v>10</v>
      </c>
    </row>
    <row r="142" spans="1:23" ht="14.1" customHeight="1" outlineLevel="2" x14ac:dyDescent="0.25">
      <c r="A142" t="str">
        <f t="shared" si="2"/>
        <v>9990008231PHILIPS DOMESTIC APPLIANCES DO BRAS20000</v>
      </c>
      <c r="B142" t="s">
        <v>2082</v>
      </c>
      <c r="C142">
        <v>9990008231</v>
      </c>
      <c r="D142" s="2">
        <v>44602</v>
      </c>
      <c r="E142" t="s">
        <v>0</v>
      </c>
      <c r="F142" t="s">
        <v>1</v>
      </c>
      <c r="G142" t="s">
        <v>817</v>
      </c>
      <c r="H142" t="s">
        <v>818</v>
      </c>
      <c r="J142" s="3" t="s">
        <v>4</v>
      </c>
      <c r="K142" s="2">
        <v>44632</v>
      </c>
      <c r="L142" s="4">
        <v>20000</v>
      </c>
      <c r="M142" t="s">
        <v>5</v>
      </c>
      <c r="N142" s="4">
        <v>20000</v>
      </c>
      <c r="O142" t="s">
        <v>819</v>
      </c>
      <c r="P142" s="4">
        <v>18150</v>
      </c>
      <c r="Q142" s="5">
        <v>110</v>
      </c>
      <c r="R142" t="s">
        <v>820</v>
      </c>
      <c r="S142" t="s">
        <v>821</v>
      </c>
      <c r="T142" t="s">
        <v>4</v>
      </c>
      <c r="U142" t="s">
        <v>822</v>
      </c>
      <c r="V142" s="2">
        <v>44743</v>
      </c>
      <c r="W142" t="s">
        <v>10</v>
      </c>
    </row>
    <row r="143" spans="1:23" ht="14.1" customHeight="1" outlineLevel="2" x14ac:dyDescent="0.25">
      <c r="A143" t="str">
        <f t="shared" si="2"/>
        <v>9990008289Highland Park Comercio e Imp LTDA26164,05</v>
      </c>
      <c r="B143" t="s">
        <v>2083</v>
      </c>
      <c r="C143">
        <v>9990008289</v>
      </c>
      <c r="D143" s="2">
        <v>44630</v>
      </c>
      <c r="E143" t="s">
        <v>0</v>
      </c>
      <c r="F143" t="s">
        <v>1</v>
      </c>
      <c r="G143" t="s">
        <v>823</v>
      </c>
      <c r="H143" t="s">
        <v>824</v>
      </c>
      <c r="J143" s="3" t="s">
        <v>4</v>
      </c>
      <c r="K143" s="2">
        <v>44660</v>
      </c>
      <c r="L143" s="4">
        <v>26164.05</v>
      </c>
      <c r="M143" t="s">
        <v>5</v>
      </c>
      <c r="N143" s="4">
        <v>26164.05</v>
      </c>
      <c r="O143" t="s">
        <v>825</v>
      </c>
      <c r="P143" s="4">
        <v>23743.87</v>
      </c>
      <c r="Q143" s="5">
        <v>82</v>
      </c>
      <c r="R143" t="s">
        <v>826</v>
      </c>
      <c r="S143" t="s">
        <v>827</v>
      </c>
      <c r="T143" t="s">
        <v>4</v>
      </c>
      <c r="U143" t="s">
        <v>828</v>
      </c>
      <c r="V143" s="2">
        <v>44743</v>
      </c>
      <c r="W143" t="s">
        <v>10</v>
      </c>
    </row>
    <row r="144" spans="1:23" ht="14.1" customHeight="1" outlineLevel="2" x14ac:dyDescent="0.25">
      <c r="A144" t="str">
        <f t="shared" si="2"/>
        <v>9990008289Highland Park Comercio e Imp LTDA5307</v>
      </c>
      <c r="B144" t="s">
        <v>2084</v>
      </c>
      <c r="C144">
        <v>9990008289</v>
      </c>
      <c r="D144" s="2">
        <v>44663</v>
      </c>
      <c r="E144" t="s">
        <v>0</v>
      </c>
      <c r="F144" t="s">
        <v>1</v>
      </c>
      <c r="G144" t="s">
        <v>829</v>
      </c>
      <c r="H144" t="s">
        <v>824</v>
      </c>
      <c r="J144" s="3" t="s">
        <v>4</v>
      </c>
      <c r="K144" s="2">
        <v>44693</v>
      </c>
      <c r="L144" s="4">
        <v>5307</v>
      </c>
      <c r="M144" t="s">
        <v>5</v>
      </c>
      <c r="N144" s="4">
        <v>5307</v>
      </c>
      <c r="O144" t="s">
        <v>830</v>
      </c>
      <c r="P144" s="4">
        <v>4816.1000000000004</v>
      </c>
      <c r="Q144" s="5">
        <v>49</v>
      </c>
      <c r="R144" t="s">
        <v>831</v>
      </c>
      <c r="S144" t="s">
        <v>832</v>
      </c>
      <c r="T144" t="s">
        <v>26</v>
      </c>
      <c r="U144" t="s">
        <v>833</v>
      </c>
      <c r="V144" s="2">
        <v>44743</v>
      </c>
      <c r="W144" t="s">
        <v>10</v>
      </c>
    </row>
    <row r="145" spans="1:23" ht="14.1" customHeight="1" outlineLevel="2" x14ac:dyDescent="0.25">
      <c r="A145" t="str">
        <f t="shared" si="2"/>
        <v>9990008289Highland Park Comercio e Imp LTDA24414,4</v>
      </c>
      <c r="B145" t="s">
        <v>2085</v>
      </c>
      <c r="C145">
        <v>9990008289</v>
      </c>
      <c r="D145" s="2">
        <v>44602</v>
      </c>
      <c r="E145" t="s">
        <v>0</v>
      </c>
      <c r="F145" t="s">
        <v>1</v>
      </c>
      <c r="G145" t="s">
        <v>834</v>
      </c>
      <c r="H145" t="s">
        <v>824</v>
      </c>
      <c r="J145" s="3" t="s">
        <v>4</v>
      </c>
      <c r="K145" s="2">
        <v>44632</v>
      </c>
      <c r="L145" s="4">
        <v>24414.400000000001</v>
      </c>
      <c r="M145" t="s">
        <v>5</v>
      </c>
      <c r="N145" s="4">
        <v>24414.400000000001</v>
      </c>
      <c r="O145" t="s">
        <v>835</v>
      </c>
      <c r="P145" s="4">
        <v>22156.07</v>
      </c>
      <c r="Q145" s="5">
        <v>110</v>
      </c>
      <c r="R145" t="s">
        <v>836</v>
      </c>
      <c r="S145" t="s">
        <v>837</v>
      </c>
      <c r="T145" t="s">
        <v>4</v>
      </c>
      <c r="U145" t="s">
        <v>838</v>
      </c>
      <c r="V145" s="2">
        <v>44743</v>
      </c>
      <c r="W145" t="s">
        <v>10</v>
      </c>
    </row>
    <row r="146" spans="1:23" ht="14.1" customHeight="1" outlineLevel="2" x14ac:dyDescent="0.25">
      <c r="A146" t="str">
        <f t="shared" si="2"/>
        <v>9990008376NEWNESS BEBIDAS820</v>
      </c>
      <c r="B146" t="s">
        <v>2086</v>
      </c>
      <c r="C146">
        <v>9990008376</v>
      </c>
      <c r="D146" s="2">
        <v>44663</v>
      </c>
      <c r="E146" t="s">
        <v>0</v>
      </c>
      <c r="F146" t="s">
        <v>1</v>
      </c>
      <c r="G146" t="s">
        <v>839</v>
      </c>
      <c r="H146" t="s">
        <v>840</v>
      </c>
      <c r="J146" s="3" t="s">
        <v>4</v>
      </c>
      <c r="K146" s="2">
        <v>44693</v>
      </c>
      <c r="L146" s="4">
        <v>820</v>
      </c>
      <c r="M146" t="s">
        <v>5</v>
      </c>
      <c r="N146" s="4">
        <v>820</v>
      </c>
      <c r="O146" t="s">
        <v>841</v>
      </c>
      <c r="P146" s="4">
        <v>744.15</v>
      </c>
      <c r="Q146" s="5">
        <v>49</v>
      </c>
      <c r="R146" t="s">
        <v>842</v>
      </c>
      <c r="S146" t="s">
        <v>843</v>
      </c>
      <c r="T146" t="s">
        <v>844</v>
      </c>
      <c r="U146" t="s">
        <v>845</v>
      </c>
      <c r="V146" s="2">
        <v>44743</v>
      </c>
      <c r="W146" t="s">
        <v>10</v>
      </c>
    </row>
    <row r="147" spans="1:23" ht="14.1" customHeight="1" outlineLevel="2" x14ac:dyDescent="0.25">
      <c r="A147" t="str">
        <f t="shared" si="2"/>
        <v>9990008376NEWNESS BEBIDAS820</v>
      </c>
      <c r="B147" t="s">
        <v>2086</v>
      </c>
      <c r="C147">
        <v>9990008376</v>
      </c>
      <c r="D147" s="2">
        <v>44663</v>
      </c>
      <c r="E147" t="s">
        <v>0</v>
      </c>
      <c r="F147" t="s">
        <v>1</v>
      </c>
      <c r="G147" t="s">
        <v>846</v>
      </c>
      <c r="H147" t="s">
        <v>840</v>
      </c>
      <c r="J147" s="3" t="s">
        <v>4</v>
      </c>
      <c r="K147" s="2">
        <v>44693</v>
      </c>
      <c r="L147" s="4">
        <v>820</v>
      </c>
      <c r="M147" t="s">
        <v>5</v>
      </c>
      <c r="N147" s="4">
        <v>820</v>
      </c>
      <c r="O147" t="s">
        <v>847</v>
      </c>
      <c r="P147" s="4">
        <v>744.15</v>
      </c>
      <c r="Q147" s="5">
        <v>49</v>
      </c>
      <c r="R147" t="s">
        <v>848</v>
      </c>
      <c r="S147" t="s">
        <v>849</v>
      </c>
      <c r="T147" t="s">
        <v>850</v>
      </c>
      <c r="U147" t="s">
        <v>851</v>
      </c>
      <c r="V147" s="2">
        <v>44743</v>
      </c>
      <c r="W147" t="s">
        <v>10</v>
      </c>
    </row>
    <row r="148" spans="1:23" ht="14.1" customHeight="1" outlineLevel="2" x14ac:dyDescent="0.25">
      <c r="A148" t="str">
        <f t="shared" si="2"/>
        <v>9990008384M DIAS BRANCO S.A. INDUSTRIA E COME6000</v>
      </c>
      <c r="B148" t="s">
        <v>2087</v>
      </c>
      <c r="C148">
        <v>9990008384</v>
      </c>
      <c r="D148" s="2">
        <v>44630</v>
      </c>
      <c r="E148" t="s">
        <v>0</v>
      </c>
      <c r="F148" t="s">
        <v>1</v>
      </c>
      <c r="G148" t="s">
        <v>852</v>
      </c>
      <c r="H148" t="s">
        <v>853</v>
      </c>
      <c r="J148" s="3" t="s">
        <v>4</v>
      </c>
      <c r="K148" s="2">
        <v>44696</v>
      </c>
      <c r="L148" s="4">
        <v>6000</v>
      </c>
      <c r="M148" t="s">
        <v>5</v>
      </c>
      <c r="N148" s="4">
        <v>6000</v>
      </c>
      <c r="O148" t="s">
        <v>854</v>
      </c>
      <c r="P148" s="4">
        <v>5445</v>
      </c>
      <c r="Q148" s="5">
        <v>46</v>
      </c>
      <c r="R148" t="s">
        <v>855</v>
      </c>
      <c r="S148" t="s">
        <v>856</v>
      </c>
      <c r="T148" t="s">
        <v>857</v>
      </c>
      <c r="U148" t="s">
        <v>858</v>
      </c>
      <c r="V148" s="2">
        <v>44743</v>
      </c>
      <c r="W148" t="s">
        <v>10</v>
      </c>
    </row>
    <row r="149" spans="1:23" ht="14.1" customHeight="1" outlineLevel="2" x14ac:dyDescent="0.25">
      <c r="A149" t="str">
        <f t="shared" si="2"/>
        <v>9990008385M DIAS BRANCO S.A. INDUSTRIA E COME15000</v>
      </c>
      <c r="B149" t="s">
        <v>2088</v>
      </c>
      <c r="C149">
        <v>9990008385</v>
      </c>
      <c r="D149" s="2">
        <v>44630</v>
      </c>
      <c r="E149" t="s">
        <v>0</v>
      </c>
      <c r="F149" t="s">
        <v>1</v>
      </c>
      <c r="G149" t="s">
        <v>859</v>
      </c>
      <c r="H149" t="s">
        <v>853</v>
      </c>
      <c r="J149" s="3" t="s">
        <v>4</v>
      </c>
      <c r="K149" s="2">
        <v>44696</v>
      </c>
      <c r="L149" s="4">
        <v>15000</v>
      </c>
      <c r="M149" t="s">
        <v>5</v>
      </c>
      <c r="N149" s="4">
        <v>15000</v>
      </c>
      <c r="O149" t="s">
        <v>860</v>
      </c>
      <c r="P149" s="4">
        <v>13612.5</v>
      </c>
      <c r="Q149" s="5">
        <v>46</v>
      </c>
      <c r="R149" t="s">
        <v>861</v>
      </c>
      <c r="S149" t="s">
        <v>862</v>
      </c>
      <c r="T149" t="s">
        <v>863</v>
      </c>
      <c r="U149" t="s">
        <v>864</v>
      </c>
      <c r="V149" s="2">
        <v>44743</v>
      </c>
      <c r="W149" t="s">
        <v>10</v>
      </c>
    </row>
    <row r="150" spans="1:23" ht="14.1" customHeight="1" outlineLevel="2" x14ac:dyDescent="0.25">
      <c r="A150" t="str">
        <f t="shared" si="2"/>
        <v>999000848725 BEST DISTRIBUIDORA DE ELETRONICO65959,93</v>
      </c>
      <c r="B150" t="s">
        <v>2089</v>
      </c>
      <c r="C150">
        <v>9990008487</v>
      </c>
      <c r="D150" s="2">
        <v>44663</v>
      </c>
      <c r="E150" t="s">
        <v>0</v>
      </c>
      <c r="F150" t="s">
        <v>1</v>
      </c>
      <c r="G150" t="s">
        <v>865</v>
      </c>
      <c r="H150" t="s">
        <v>866</v>
      </c>
      <c r="J150" s="3" t="s">
        <v>4</v>
      </c>
      <c r="K150" s="2">
        <v>44693</v>
      </c>
      <c r="L150" s="4">
        <v>65959.929999999993</v>
      </c>
      <c r="M150" t="s">
        <v>5</v>
      </c>
      <c r="N150" s="4">
        <v>65959.929999999993</v>
      </c>
      <c r="O150" t="s">
        <v>867</v>
      </c>
      <c r="P150" s="4">
        <v>59858.64</v>
      </c>
      <c r="Q150" s="5">
        <v>49</v>
      </c>
      <c r="R150" t="s">
        <v>868</v>
      </c>
      <c r="S150" t="s">
        <v>869</v>
      </c>
      <c r="T150" t="s">
        <v>4</v>
      </c>
      <c r="U150" t="s">
        <v>870</v>
      </c>
      <c r="V150" s="2">
        <v>44743</v>
      </c>
      <c r="W150" t="s">
        <v>10</v>
      </c>
    </row>
    <row r="151" spans="1:23" ht="14.1" customHeight="1" outlineLevel="2" x14ac:dyDescent="0.25">
      <c r="A151" t="str">
        <f t="shared" si="2"/>
        <v>9990008530Nestle Brasil Ltda56088,79</v>
      </c>
      <c r="B151" t="s">
        <v>2090</v>
      </c>
      <c r="C151">
        <v>9990008530</v>
      </c>
      <c r="D151" s="2">
        <v>44692</v>
      </c>
      <c r="E151" t="s">
        <v>0</v>
      </c>
      <c r="F151" t="s">
        <v>1</v>
      </c>
      <c r="G151" t="s">
        <v>871</v>
      </c>
      <c r="H151" t="s">
        <v>872</v>
      </c>
      <c r="J151" s="3" t="s">
        <v>4</v>
      </c>
      <c r="K151" s="2">
        <v>44722</v>
      </c>
      <c r="L151" s="4">
        <v>56088.79</v>
      </c>
      <c r="M151" t="s">
        <v>5</v>
      </c>
      <c r="N151" s="4">
        <v>56088.79</v>
      </c>
      <c r="O151" t="s">
        <v>873</v>
      </c>
      <c r="P151" s="4">
        <v>50900.58</v>
      </c>
      <c r="Q151" s="5">
        <v>20</v>
      </c>
      <c r="R151" t="s">
        <v>874</v>
      </c>
      <c r="S151" t="s">
        <v>875</v>
      </c>
      <c r="T151" t="s">
        <v>4</v>
      </c>
      <c r="U151" t="s">
        <v>876</v>
      </c>
      <c r="V151" s="2">
        <v>44743</v>
      </c>
      <c r="W151" t="s">
        <v>10</v>
      </c>
    </row>
    <row r="152" spans="1:23" ht="14.1" customHeight="1" outlineLevel="2" x14ac:dyDescent="0.25">
      <c r="A152" t="str">
        <f t="shared" si="2"/>
        <v>9990050983AMBEV S.A19995</v>
      </c>
      <c r="B152" t="s">
        <v>2091</v>
      </c>
      <c r="C152">
        <v>9990050983</v>
      </c>
      <c r="D152" s="2">
        <v>44663</v>
      </c>
      <c r="E152" t="s">
        <v>0</v>
      </c>
      <c r="F152" t="s">
        <v>1</v>
      </c>
      <c r="G152" t="s">
        <v>877</v>
      </c>
      <c r="H152" t="s">
        <v>878</v>
      </c>
      <c r="J152" s="3" t="s">
        <v>4</v>
      </c>
      <c r="K152" s="2">
        <v>44693</v>
      </c>
      <c r="L152" s="4">
        <v>19995</v>
      </c>
      <c r="M152" t="s">
        <v>5</v>
      </c>
      <c r="N152" s="4">
        <v>19995</v>
      </c>
      <c r="O152" t="s">
        <v>879</v>
      </c>
      <c r="P152" s="4">
        <v>18145.46</v>
      </c>
      <c r="Q152" s="5">
        <v>49</v>
      </c>
      <c r="R152" t="s">
        <v>880</v>
      </c>
      <c r="S152" t="s">
        <v>881</v>
      </c>
      <c r="T152" t="s">
        <v>882</v>
      </c>
      <c r="U152" t="s">
        <v>883</v>
      </c>
      <c r="V152" s="2">
        <v>44743</v>
      </c>
      <c r="W152" t="s">
        <v>10</v>
      </c>
    </row>
    <row r="153" spans="1:23" ht="14.1" customHeight="1" outlineLevel="2" x14ac:dyDescent="0.25">
      <c r="A153" t="str">
        <f t="shared" si="2"/>
        <v>9990050983AMBEV S.A20000</v>
      </c>
      <c r="B153" t="s">
        <v>2092</v>
      </c>
      <c r="C153">
        <v>9990050983</v>
      </c>
      <c r="D153" s="2">
        <v>44663</v>
      </c>
      <c r="E153" t="s">
        <v>0</v>
      </c>
      <c r="F153" t="s">
        <v>1</v>
      </c>
      <c r="G153" t="s">
        <v>884</v>
      </c>
      <c r="H153" t="s">
        <v>878</v>
      </c>
      <c r="J153" s="3" t="s">
        <v>4</v>
      </c>
      <c r="K153" s="2">
        <v>44693</v>
      </c>
      <c r="L153" s="4">
        <v>20000</v>
      </c>
      <c r="M153" t="s">
        <v>5</v>
      </c>
      <c r="N153" s="4">
        <v>20000</v>
      </c>
      <c r="O153" t="s">
        <v>885</v>
      </c>
      <c r="P153" s="4">
        <v>18149.990000000002</v>
      </c>
      <c r="Q153" s="5">
        <v>49</v>
      </c>
      <c r="R153" t="s">
        <v>886</v>
      </c>
      <c r="S153" t="s">
        <v>887</v>
      </c>
      <c r="T153" t="s">
        <v>888</v>
      </c>
      <c r="U153" t="s">
        <v>889</v>
      </c>
      <c r="V153" s="2">
        <v>44743</v>
      </c>
      <c r="W153" t="s">
        <v>10</v>
      </c>
    </row>
    <row r="154" spans="1:23" ht="14.1" customHeight="1" outlineLevel="2" x14ac:dyDescent="0.25">
      <c r="A154" t="str">
        <f t="shared" si="2"/>
        <v>9990051165MICROSOFT DO BRASIL IMP COM SOFTWAR5213</v>
      </c>
      <c r="B154" t="s">
        <v>2093</v>
      </c>
      <c r="C154">
        <v>9990051165</v>
      </c>
      <c r="D154" s="2">
        <v>44692</v>
      </c>
      <c r="E154" t="s">
        <v>0</v>
      </c>
      <c r="F154" t="s">
        <v>1</v>
      </c>
      <c r="G154" t="s">
        <v>890</v>
      </c>
      <c r="H154" t="s">
        <v>891</v>
      </c>
      <c r="J154" s="3" t="s">
        <v>4</v>
      </c>
      <c r="K154" s="2">
        <v>44722</v>
      </c>
      <c r="L154" s="4">
        <v>5213</v>
      </c>
      <c r="M154" t="s">
        <v>5</v>
      </c>
      <c r="N154" s="4">
        <v>5213</v>
      </c>
      <c r="O154" t="s">
        <v>892</v>
      </c>
      <c r="P154" s="4">
        <v>4730.8</v>
      </c>
      <c r="Q154" s="5">
        <v>20</v>
      </c>
      <c r="R154" t="s">
        <v>893</v>
      </c>
      <c r="S154" t="s">
        <v>894</v>
      </c>
      <c r="T154" t="s">
        <v>895</v>
      </c>
      <c r="U154" t="s">
        <v>896</v>
      </c>
      <c r="V154" s="2">
        <v>44743</v>
      </c>
      <c r="W154" t="s">
        <v>10</v>
      </c>
    </row>
    <row r="155" spans="1:23" ht="14.1" customHeight="1" outlineLevel="2" x14ac:dyDescent="0.25">
      <c r="A155" t="str">
        <f t="shared" si="2"/>
        <v>9990051206ROBERT BOSCH LIMITADA12000</v>
      </c>
      <c r="B155" t="s">
        <v>2094</v>
      </c>
      <c r="C155">
        <v>9990051206</v>
      </c>
      <c r="D155" s="2">
        <v>44523</v>
      </c>
      <c r="E155" t="s">
        <v>0</v>
      </c>
      <c r="F155" t="s">
        <v>1</v>
      </c>
      <c r="G155" t="s">
        <v>897</v>
      </c>
      <c r="H155" t="s">
        <v>898</v>
      </c>
      <c r="J155" s="3" t="s">
        <v>4</v>
      </c>
      <c r="K155" s="2">
        <v>44553</v>
      </c>
      <c r="L155" s="4">
        <v>12000</v>
      </c>
      <c r="M155" t="s">
        <v>5</v>
      </c>
      <c r="N155" s="4">
        <v>12000</v>
      </c>
      <c r="O155" t="s">
        <v>899</v>
      </c>
      <c r="P155" s="4">
        <v>10890</v>
      </c>
      <c r="Q155" s="5">
        <v>189</v>
      </c>
      <c r="R155" t="s">
        <v>900</v>
      </c>
      <c r="S155" t="s">
        <v>901</v>
      </c>
      <c r="T155" t="s">
        <v>26</v>
      </c>
      <c r="U155" t="s">
        <v>902</v>
      </c>
      <c r="V155" s="2">
        <v>44743</v>
      </c>
      <c r="W155" t="s">
        <v>10</v>
      </c>
    </row>
    <row r="156" spans="1:23" ht="14.1" customHeight="1" outlineLevel="2" x14ac:dyDescent="0.25">
      <c r="A156" t="str">
        <f t="shared" si="2"/>
        <v>9990051241Zerbini do Brasil Ltda9435,02</v>
      </c>
      <c r="B156" t="s">
        <v>2095</v>
      </c>
      <c r="C156">
        <v>9990051241</v>
      </c>
      <c r="D156" s="2">
        <v>44389</v>
      </c>
      <c r="E156" t="s">
        <v>0</v>
      </c>
      <c r="F156" t="s">
        <v>1</v>
      </c>
      <c r="G156" t="s">
        <v>903</v>
      </c>
      <c r="H156" t="s">
        <v>904</v>
      </c>
      <c r="J156" s="3" t="s">
        <v>4</v>
      </c>
      <c r="K156" s="2">
        <v>44419</v>
      </c>
      <c r="L156" s="4">
        <v>9435.02</v>
      </c>
      <c r="M156" t="s">
        <v>5</v>
      </c>
      <c r="N156" s="4">
        <v>9435.02</v>
      </c>
      <c r="O156" t="s">
        <v>905</v>
      </c>
      <c r="P156" s="4">
        <v>8562.2800000000007</v>
      </c>
      <c r="Q156" s="5">
        <v>323</v>
      </c>
      <c r="R156" t="s">
        <v>906</v>
      </c>
      <c r="S156" t="s">
        <v>907</v>
      </c>
      <c r="T156" t="s">
        <v>908</v>
      </c>
      <c r="U156" t="s">
        <v>909</v>
      </c>
      <c r="V156" s="2">
        <v>44743</v>
      </c>
      <c r="W156" t="s">
        <v>10</v>
      </c>
    </row>
    <row r="157" spans="1:23" ht="14.1" customHeight="1" outlineLevel="2" x14ac:dyDescent="0.25">
      <c r="A157" t="str">
        <f t="shared" si="2"/>
        <v>9990051287WEBFONES COMERCIO DE ARTIGOS DE46338,1</v>
      </c>
      <c r="B157" t="s">
        <v>2096</v>
      </c>
      <c r="C157">
        <v>9990051287</v>
      </c>
      <c r="D157" s="2">
        <v>44692</v>
      </c>
      <c r="E157" t="s">
        <v>0</v>
      </c>
      <c r="F157" t="s">
        <v>1</v>
      </c>
      <c r="G157" t="s">
        <v>910</v>
      </c>
      <c r="H157" t="s">
        <v>911</v>
      </c>
      <c r="J157" s="3" t="s">
        <v>4</v>
      </c>
      <c r="K157" s="2">
        <v>44722</v>
      </c>
      <c r="L157" s="4">
        <v>46338.1</v>
      </c>
      <c r="M157" t="s">
        <v>5</v>
      </c>
      <c r="N157" s="4">
        <v>46338.1</v>
      </c>
      <c r="O157" t="s">
        <v>912</v>
      </c>
      <c r="P157" s="4">
        <v>42051.81</v>
      </c>
      <c r="Q157" s="5">
        <v>20</v>
      </c>
      <c r="R157" t="s">
        <v>913</v>
      </c>
      <c r="S157" t="s">
        <v>914</v>
      </c>
      <c r="T157" t="s">
        <v>4</v>
      </c>
      <c r="U157" t="s">
        <v>915</v>
      </c>
      <c r="V157" s="2">
        <v>44743</v>
      </c>
      <c r="W157" t="s">
        <v>10</v>
      </c>
    </row>
    <row r="158" spans="1:23" ht="14.1" customHeight="1" outlineLevel="2" x14ac:dyDescent="0.25">
      <c r="A158" t="str">
        <f t="shared" si="2"/>
        <v>9990051402FOREVER COMPANY COSMETICOS LTDA86363</v>
      </c>
      <c r="B158" t="s">
        <v>2097</v>
      </c>
      <c r="C158">
        <v>9990051402</v>
      </c>
      <c r="D158" s="2">
        <v>44571</v>
      </c>
      <c r="E158" t="s">
        <v>0</v>
      </c>
      <c r="F158" t="s">
        <v>1</v>
      </c>
      <c r="G158" t="s">
        <v>916</v>
      </c>
      <c r="H158" t="s">
        <v>917</v>
      </c>
      <c r="J158" s="3" t="s">
        <v>4</v>
      </c>
      <c r="K158" s="2">
        <v>44601</v>
      </c>
      <c r="L158" s="4">
        <v>86363</v>
      </c>
      <c r="M158" t="s">
        <v>5</v>
      </c>
      <c r="N158" s="4">
        <v>86363</v>
      </c>
      <c r="O158" t="s">
        <v>918</v>
      </c>
      <c r="P158" s="4">
        <v>78374.42</v>
      </c>
      <c r="Q158" s="5">
        <v>141</v>
      </c>
      <c r="R158" t="s">
        <v>919</v>
      </c>
      <c r="S158" t="s">
        <v>920</v>
      </c>
      <c r="T158" t="s">
        <v>223</v>
      </c>
      <c r="U158" t="s">
        <v>921</v>
      </c>
      <c r="V158" s="2">
        <v>44743</v>
      </c>
      <c r="W158" t="s">
        <v>10</v>
      </c>
    </row>
    <row r="159" spans="1:23" ht="14.1" customHeight="1" outlineLevel="2" x14ac:dyDescent="0.25">
      <c r="A159" t="str">
        <f t="shared" si="2"/>
        <v>9990051402FOREVER COMPANY COSMETICOS LTDA291603,16</v>
      </c>
      <c r="B159" t="s">
        <v>2098</v>
      </c>
      <c r="C159">
        <v>9990051402</v>
      </c>
      <c r="D159" s="2">
        <v>44540</v>
      </c>
      <c r="E159" t="s">
        <v>0</v>
      </c>
      <c r="F159" t="s">
        <v>1</v>
      </c>
      <c r="G159" t="s">
        <v>922</v>
      </c>
      <c r="H159" t="s">
        <v>917</v>
      </c>
      <c r="J159" s="3" t="s">
        <v>4</v>
      </c>
      <c r="K159" s="2">
        <v>44570</v>
      </c>
      <c r="L159" s="4">
        <v>291603.15999999997</v>
      </c>
      <c r="M159" t="s">
        <v>5</v>
      </c>
      <c r="N159" s="4">
        <v>291603.15999999997</v>
      </c>
      <c r="O159" t="s">
        <v>923</v>
      </c>
      <c r="P159" s="4">
        <v>264629.86</v>
      </c>
      <c r="Q159" s="5">
        <v>172</v>
      </c>
      <c r="R159" t="s">
        <v>924</v>
      </c>
      <c r="S159" t="s">
        <v>925</v>
      </c>
      <c r="T159" t="s">
        <v>26</v>
      </c>
      <c r="U159" t="s">
        <v>926</v>
      </c>
      <c r="V159" s="2">
        <v>44743</v>
      </c>
      <c r="W159" t="s">
        <v>10</v>
      </c>
    </row>
    <row r="160" spans="1:23" ht="14.1" customHeight="1" outlineLevel="2" x14ac:dyDescent="0.25">
      <c r="A160" t="str">
        <f t="shared" si="2"/>
        <v>9990051571AGP TECNOLOGIA EM INFORMATICA DO BR77738,78</v>
      </c>
      <c r="B160" t="s">
        <v>2099</v>
      </c>
      <c r="C160">
        <v>9990051571</v>
      </c>
      <c r="D160" s="2">
        <v>44663</v>
      </c>
      <c r="E160" t="s">
        <v>0</v>
      </c>
      <c r="F160" t="s">
        <v>1</v>
      </c>
      <c r="G160" t="s">
        <v>927</v>
      </c>
      <c r="H160" t="s">
        <v>928</v>
      </c>
      <c r="J160" s="3" t="s">
        <v>4</v>
      </c>
      <c r="K160" s="2">
        <v>44693</v>
      </c>
      <c r="L160" s="4">
        <v>77738.78</v>
      </c>
      <c r="M160" t="s">
        <v>5</v>
      </c>
      <c r="N160" s="4">
        <v>77738.78</v>
      </c>
      <c r="O160" t="s">
        <v>929</v>
      </c>
      <c r="P160" s="4">
        <v>70547.94</v>
      </c>
      <c r="Q160" s="5">
        <v>49</v>
      </c>
      <c r="R160" t="s">
        <v>930</v>
      </c>
      <c r="S160" t="s">
        <v>931</v>
      </c>
      <c r="T160" t="s">
        <v>4</v>
      </c>
      <c r="U160" t="s">
        <v>932</v>
      </c>
      <c r="V160" s="2">
        <v>44743</v>
      </c>
      <c r="W160" t="s">
        <v>10</v>
      </c>
    </row>
    <row r="161" spans="1:23" ht="14.1" customHeight="1" outlineLevel="2" x14ac:dyDescent="0.25">
      <c r="A161" t="str">
        <f t="shared" si="2"/>
        <v>9990051571AGP TECNOLOGIA EM INFORMATICA DO BR47298,57</v>
      </c>
      <c r="B161" t="s">
        <v>2100</v>
      </c>
      <c r="C161">
        <v>9990051571</v>
      </c>
      <c r="D161" s="2">
        <v>44630</v>
      </c>
      <c r="E161" t="s">
        <v>0</v>
      </c>
      <c r="F161" t="s">
        <v>1</v>
      </c>
      <c r="G161" t="s">
        <v>933</v>
      </c>
      <c r="H161" t="s">
        <v>928</v>
      </c>
      <c r="J161" s="3" t="s">
        <v>4</v>
      </c>
      <c r="K161" s="2">
        <v>44660</v>
      </c>
      <c r="L161" s="4">
        <v>47298.57</v>
      </c>
      <c r="M161" t="s">
        <v>5</v>
      </c>
      <c r="N161" s="4">
        <v>47298.57</v>
      </c>
      <c r="O161" t="s">
        <v>934</v>
      </c>
      <c r="P161" s="4">
        <v>42923.45</v>
      </c>
      <c r="Q161" s="5">
        <v>82</v>
      </c>
      <c r="R161" t="s">
        <v>935</v>
      </c>
      <c r="S161" t="s">
        <v>936</v>
      </c>
      <c r="T161" t="s">
        <v>4</v>
      </c>
      <c r="U161" t="s">
        <v>937</v>
      </c>
      <c r="V161" s="2">
        <v>44743</v>
      </c>
      <c r="W161" t="s">
        <v>10</v>
      </c>
    </row>
    <row r="162" spans="1:23" ht="14.1" customHeight="1" outlineLevel="2" x14ac:dyDescent="0.25">
      <c r="A162" t="str">
        <f t="shared" si="2"/>
        <v>9990051571AGP TECNOLOGIA EM INFORMATICA DO BR70624,8</v>
      </c>
      <c r="B162" t="s">
        <v>2101</v>
      </c>
      <c r="C162">
        <v>9990051571</v>
      </c>
      <c r="D162" s="2">
        <v>44663</v>
      </c>
      <c r="E162" t="s">
        <v>0</v>
      </c>
      <c r="F162" t="s">
        <v>1</v>
      </c>
      <c r="G162" t="s">
        <v>938</v>
      </c>
      <c r="H162" t="s">
        <v>928</v>
      </c>
      <c r="J162" s="3" t="s">
        <v>4</v>
      </c>
      <c r="K162" s="2">
        <v>44693</v>
      </c>
      <c r="L162" s="4">
        <v>70624.800000000003</v>
      </c>
      <c r="M162" t="s">
        <v>5</v>
      </c>
      <c r="N162" s="4">
        <v>70624.800000000003</v>
      </c>
      <c r="O162" t="s">
        <v>939</v>
      </c>
      <c r="P162" s="4">
        <v>64092.01</v>
      </c>
      <c r="Q162" s="5">
        <v>49</v>
      </c>
      <c r="R162" t="s">
        <v>940</v>
      </c>
      <c r="S162" t="s">
        <v>941</v>
      </c>
      <c r="T162" t="s">
        <v>26</v>
      </c>
      <c r="U162" t="s">
        <v>942</v>
      </c>
      <c r="V162" s="2">
        <v>44743</v>
      </c>
      <c r="W162" t="s">
        <v>10</v>
      </c>
    </row>
    <row r="163" spans="1:23" ht="14.1" customHeight="1" outlineLevel="2" x14ac:dyDescent="0.25">
      <c r="A163" t="str">
        <f t="shared" si="2"/>
        <v>9990051593FORD MOTOR COMPANY BRASIL LTDA-0,22</v>
      </c>
      <c r="B163" t="s">
        <v>2102</v>
      </c>
      <c r="C163">
        <v>9990051593</v>
      </c>
      <c r="D163" s="2">
        <v>44735</v>
      </c>
      <c r="E163" t="s">
        <v>4</v>
      </c>
      <c r="F163" t="s">
        <v>12</v>
      </c>
      <c r="G163" t="s">
        <v>943</v>
      </c>
      <c r="H163" t="s">
        <v>944</v>
      </c>
      <c r="J163" s="3" t="s">
        <v>4</v>
      </c>
      <c r="K163" s="2">
        <v>44595</v>
      </c>
      <c r="L163" s="4">
        <v>-0.22</v>
      </c>
      <c r="M163" t="s">
        <v>5</v>
      </c>
      <c r="N163" s="4">
        <v>-0.22</v>
      </c>
      <c r="O163" t="s">
        <v>4</v>
      </c>
      <c r="P163" s="4">
        <v>0</v>
      </c>
      <c r="Q163" s="5">
        <v>147</v>
      </c>
      <c r="R163" t="s">
        <v>4</v>
      </c>
      <c r="S163" t="s">
        <v>4</v>
      </c>
      <c r="T163" t="s">
        <v>945</v>
      </c>
      <c r="U163" t="s">
        <v>946</v>
      </c>
      <c r="V163" s="2">
        <v>44743</v>
      </c>
      <c r="W163" t="s">
        <v>10</v>
      </c>
    </row>
    <row r="164" spans="1:23" outlineLevel="1" x14ac:dyDescent="0.25">
      <c r="A164" t="str">
        <f t="shared" si="2"/>
        <v>5346905,06</v>
      </c>
      <c r="B164" s="6" t="s">
        <v>2103</v>
      </c>
      <c r="C164" s="6"/>
      <c r="D164" s="7"/>
      <c r="E164" s="6" t="s">
        <v>4</v>
      </c>
      <c r="F164" s="6" t="s">
        <v>4</v>
      </c>
      <c r="G164" s="6" t="s">
        <v>4</v>
      </c>
      <c r="H164" s="6" t="s">
        <v>4</v>
      </c>
      <c r="I164" s="6"/>
      <c r="J164" s="8" t="s">
        <v>947</v>
      </c>
      <c r="K164" s="7"/>
      <c r="L164" s="9">
        <v>5346905.0599999996</v>
      </c>
      <c r="M164" s="6" t="s">
        <v>5</v>
      </c>
      <c r="N164" s="9">
        <v>5326017.45</v>
      </c>
      <c r="O164" s="6" t="s">
        <v>4</v>
      </c>
      <c r="P164" s="10"/>
      <c r="Q164" s="10"/>
      <c r="R164" s="6" t="s">
        <v>4</v>
      </c>
      <c r="S164" s="6" t="s">
        <v>4</v>
      </c>
      <c r="T164" s="6" t="s">
        <v>4</v>
      </c>
      <c r="U164" s="6" t="s">
        <v>4</v>
      </c>
      <c r="V164" s="7"/>
      <c r="W164" s="6" t="s">
        <v>4</v>
      </c>
    </row>
    <row r="165" spans="1:23" outlineLevel="1" x14ac:dyDescent="0.25">
      <c r="A165" t="str">
        <f t="shared" si="2"/>
        <v>-4114,65</v>
      </c>
      <c r="B165" s="6" t="s">
        <v>2104</v>
      </c>
      <c r="C165" s="6"/>
      <c r="D165" s="7"/>
      <c r="E165" s="6" t="s">
        <v>4</v>
      </c>
      <c r="F165" s="6" t="s">
        <v>4</v>
      </c>
      <c r="G165" s="6" t="s">
        <v>4</v>
      </c>
      <c r="H165" s="6" t="s">
        <v>4</v>
      </c>
      <c r="I165" s="6"/>
      <c r="J165" s="6" t="s">
        <v>4</v>
      </c>
      <c r="K165" s="7"/>
      <c r="L165" s="9">
        <v>-4114.6499999999996</v>
      </c>
      <c r="M165" s="6" t="s">
        <v>136</v>
      </c>
      <c r="N165" s="10"/>
      <c r="O165" s="6" t="s">
        <v>4</v>
      </c>
      <c r="P165" s="10"/>
      <c r="Q165" s="10"/>
      <c r="R165" s="6" t="s">
        <v>4</v>
      </c>
      <c r="S165" s="6" t="s">
        <v>4</v>
      </c>
      <c r="T165" s="6" t="s">
        <v>4</v>
      </c>
      <c r="U165" s="6" t="s">
        <v>4</v>
      </c>
      <c r="V165" s="7"/>
      <c r="W165" s="6" t="s">
        <v>4</v>
      </c>
    </row>
    <row r="166" spans="1:23" ht="14.1" customHeight="1" outlineLevel="2" x14ac:dyDescent="0.25">
      <c r="A166" t="str">
        <f t="shared" si="2"/>
        <v>9990000460SONY BRASIL LTDA4019,74</v>
      </c>
      <c r="B166" t="s">
        <v>2105</v>
      </c>
      <c r="C166">
        <v>9990000460</v>
      </c>
      <c r="D166" s="2">
        <v>44722</v>
      </c>
      <c r="E166" t="s">
        <v>0</v>
      </c>
      <c r="F166" t="s">
        <v>1</v>
      </c>
      <c r="G166" t="s">
        <v>948</v>
      </c>
      <c r="H166" t="s">
        <v>949</v>
      </c>
      <c r="J166" s="3" t="s">
        <v>4</v>
      </c>
      <c r="K166" s="2">
        <v>44752</v>
      </c>
      <c r="L166" s="4">
        <v>4019.74</v>
      </c>
      <c r="M166" t="s">
        <v>5</v>
      </c>
      <c r="N166" s="4">
        <v>4019.74</v>
      </c>
      <c r="O166" t="s">
        <v>950</v>
      </c>
      <c r="P166" s="4">
        <v>3647.91</v>
      </c>
      <c r="Q166" s="5">
        <v>-10</v>
      </c>
      <c r="R166" t="s">
        <v>951</v>
      </c>
      <c r="S166" t="s">
        <v>952</v>
      </c>
      <c r="T166" t="s">
        <v>4</v>
      </c>
      <c r="U166" t="s">
        <v>953</v>
      </c>
      <c r="V166" s="2">
        <v>44743</v>
      </c>
      <c r="W166" t="s">
        <v>10</v>
      </c>
    </row>
    <row r="167" spans="1:23" ht="14.1" customHeight="1" outlineLevel="2" x14ac:dyDescent="0.25">
      <c r="A167" t="str">
        <f t="shared" si="2"/>
        <v>9990002285SAMSUNG ELETRONICA DA AMAZONIA LTDA72105</v>
      </c>
      <c r="B167" t="s">
        <v>2106</v>
      </c>
      <c r="C167">
        <v>9990002285</v>
      </c>
      <c r="D167" s="2">
        <v>44722</v>
      </c>
      <c r="E167" t="s">
        <v>0</v>
      </c>
      <c r="F167" t="s">
        <v>1</v>
      </c>
      <c r="G167" t="s">
        <v>954</v>
      </c>
      <c r="H167" t="s">
        <v>14</v>
      </c>
      <c r="J167" s="3" t="s">
        <v>4</v>
      </c>
      <c r="K167" s="2">
        <v>44782</v>
      </c>
      <c r="L167" s="4">
        <v>72105</v>
      </c>
      <c r="M167" t="s">
        <v>5</v>
      </c>
      <c r="N167" s="4">
        <v>72105</v>
      </c>
      <c r="O167" t="s">
        <v>955</v>
      </c>
      <c r="P167" s="4">
        <v>65435.29</v>
      </c>
      <c r="Q167" s="5">
        <v>-40</v>
      </c>
      <c r="R167" t="s">
        <v>956</v>
      </c>
      <c r="S167" t="s">
        <v>957</v>
      </c>
      <c r="T167" t="s">
        <v>958</v>
      </c>
      <c r="U167" t="s">
        <v>959</v>
      </c>
      <c r="V167" s="2">
        <v>44743</v>
      </c>
      <c r="W167" t="s">
        <v>10</v>
      </c>
    </row>
    <row r="168" spans="1:23" ht="14.1" customHeight="1" outlineLevel="2" x14ac:dyDescent="0.25">
      <c r="A168" t="str">
        <f t="shared" si="2"/>
        <v>9990002285SAMSUNG ELETRONICA DA AMAZONIA LTDA3750</v>
      </c>
      <c r="B168" t="s">
        <v>2107</v>
      </c>
      <c r="C168">
        <v>9990002285</v>
      </c>
      <c r="D168" s="2">
        <v>44722</v>
      </c>
      <c r="E168" t="s">
        <v>0</v>
      </c>
      <c r="F168" t="s">
        <v>1</v>
      </c>
      <c r="G168" t="s">
        <v>960</v>
      </c>
      <c r="H168" t="s">
        <v>14</v>
      </c>
      <c r="J168" s="3" t="s">
        <v>4</v>
      </c>
      <c r="K168" s="2">
        <v>44782</v>
      </c>
      <c r="L168" s="4">
        <v>3750</v>
      </c>
      <c r="M168" t="s">
        <v>5</v>
      </c>
      <c r="N168" s="4">
        <v>3750</v>
      </c>
      <c r="O168" t="s">
        <v>961</v>
      </c>
      <c r="P168" s="4">
        <v>3403.12</v>
      </c>
      <c r="Q168" s="5">
        <v>-40</v>
      </c>
      <c r="R168" t="s">
        <v>962</v>
      </c>
      <c r="S168" t="s">
        <v>963</v>
      </c>
      <c r="T168" t="s">
        <v>964</v>
      </c>
      <c r="U168" t="s">
        <v>965</v>
      </c>
      <c r="V168" s="2">
        <v>44743</v>
      </c>
      <c r="W168" t="s">
        <v>10</v>
      </c>
    </row>
    <row r="169" spans="1:23" ht="14.1" customHeight="1" outlineLevel="2" x14ac:dyDescent="0.25">
      <c r="A169" t="str">
        <f t="shared" si="2"/>
        <v>9990002285SAMSUNG ELETRONICA DA AMAZONIA LTDA200864</v>
      </c>
      <c r="B169" t="s">
        <v>2108</v>
      </c>
      <c r="C169">
        <v>9990002285</v>
      </c>
      <c r="D169" s="2">
        <v>44722</v>
      </c>
      <c r="E169" t="s">
        <v>0</v>
      </c>
      <c r="F169" t="s">
        <v>1</v>
      </c>
      <c r="G169" t="s">
        <v>966</v>
      </c>
      <c r="H169" t="s">
        <v>14</v>
      </c>
      <c r="J169" s="3" t="s">
        <v>4</v>
      </c>
      <c r="K169" s="2">
        <v>44782</v>
      </c>
      <c r="L169" s="4">
        <v>200864</v>
      </c>
      <c r="M169" t="s">
        <v>5</v>
      </c>
      <c r="N169" s="4">
        <v>200864</v>
      </c>
      <c r="O169" t="s">
        <v>967</v>
      </c>
      <c r="P169" s="4">
        <v>182284.08</v>
      </c>
      <c r="Q169" s="5">
        <v>-40</v>
      </c>
      <c r="R169" t="s">
        <v>968</v>
      </c>
      <c r="S169" t="s">
        <v>969</v>
      </c>
      <c r="T169" t="s">
        <v>970</v>
      </c>
      <c r="U169" t="s">
        <v>971</v>
      </c>
      <c r="V169" s="2">
        <v>44743</v>
      </c>
      <c r="W169" t="s">
        <v>10</v>
      </c>
    </row>
    <row r="170" spans="1:23" ht="14.1" customHeight="1" outlineLevel="2" x14ac:dyDescent="0.25">
      <c r="A170" t="str">
        <f t="shared" si="2"/>
        <v>9990002285SAMSUNG ELETRONICA DA AMAZONIA LTDA6277,25</v>
      </c>
      <c r="B170" t="s">
        <v>2109</v>
      </c>
      <c r="C170">
        <v>9990002285</v>
      </c>
      <c r="D170" s="2">
        <v>44671</v>
      </c>
      <c r="E170" t="s">
        <v>0</v>
      </c>
      <c r="F170" t="s">
        <v>1</v>
      </c>
      <c r="G170" t="s">
        <v>972</v>
      </c>
      <c r="H170" t="s">
        <v>14</v>
      </c>
      <c r="J170" s="3" t="s">
        <v>4</v>
      </c>
      <c r="K170" s="2">
        <v>44747</v>
      </c>
      <c r="L170" s="4">
        <v>6277.25</v>
      </c>
      <c r="M170" t="s">
        <v>5</v>
      </c>
      <c r="N170" s="4">
        <v>6277.25</v>
      </c>
      <c r="O170" t="s">
        <v>973</v>
      </c>
      <c r="P170" s="4">
        <v>5696.61</v>
      </c>
      <c r="Q170" s="5">
        <v>-5</v>
      </c>
      <c r="R170" t="s">
        <v>974</v>
      </c>
      <c r="S170" t="s">
        <v>975</v>
      </c>
      <c r="T170" t="s">
        <v>976</v>
      </c>
      <c r="U170" t="s">
        <v>977</v>
      </c>
      <c r="V170" s="2">
        <v>44743</v>
      </c>
      <c r="W170" t="s">
        <v>10</v>
      </c>
    </row>
    <row r="171" spans="1:23" ht="14.1" customHeight="1" outlineLevel="2" x14ac:dyDescent="0.25">
      <c r="A171" t="str">
        <f t="shared" si="2"/>
        <v>9990002285SAMSUNG ELETRONICA DA AMAZONIA LTDA160651,35</v>
      </c>
      <c r="B171" t="s">
        <v>2110</v>
      </c>
      <c r="C171">
        <v>9990002285</v>
      </c>
      <c r="D171" s="2">
        <v>44671</v>
      </c>
      <c r="E171" t="s">
        <v>0</v>
      </c>
      <c r="F171" t="s">
        <v>1</v>
      </c>
      <c r="G171" t="s">
        <v>978</v>
      </c>
      <c r="H171" t="s">
        <v>14</v>
      </c>
      <c r="J171" s="3" t="s">
        <v>4</v>
      </c>
      <c r="K171" s="2">
        <v>44747</v>
      </c>
      <c r="L171" s="4">
        <v>160651.35</v>
      </c>
      <c r="M171" t="s">
        <v>5</v>
      </c>
      <c r="N171" s="4">
        <v>160651.35</v>
      </c>
      <c r="O171" t="s">
        <v>979</v>
      </c>
      <c r="P171" s="4">
        <v>145791.1</v>
      </c>
      <c r="Q171" s="5">
        <v>-5</v>
      </c>
      <c r="R171" t="s">
        <v>980</v>
      </c>
      <c r="S171" t="s">
        <v>981</v>
      </c>
      <c r="T171" t="s">
        <v>982</v>
      </c>
      <c r="U171" t="s">
        <v>983</v>
      </c>
      <c r="V171" s="2">
        <v>44743</v>
      </c>
      <c r="W171" t="s">
        <v>10</v>
      </c>
    </row>
    <row r="172" spans="1:23" ht="14.1" customHeight="1" outlineLevel="2" x14ac:dyDescent="0.25">
      <c r="A172" t="str">
        <f t="shared" si="2"/>
        <v>9990002285SAMSUNG ELETRONICA DA AMAZONIA LTDA10826,84</v>
      </c>
      <c r="B172" t="s">
        <v>2111</v>
      </c>
      <c r="C172">
        <v>9990002285</v>
      </c>
      <c r="D172" s="2">
        <v>44671</v>
      </c>
      <c r="E172" t="s">
        <v>0</v>
      </c>
      <c r="F172" t="s">
        <v>1</v>
      </c>
      <c r="G172" t="s">
        <v>984</v>
      </c>
      <c r="H172" t="s">
        <v>14</v>
      </c>
      <c r="J172" s="3" t="s">
        <v>4</v>
      </c>
      <c r="K172" s="2">
        <v>44747</v>
      </c>
      <c r="L172" s="4">
        <v>10826.84</v>
      </c>
      <c r="M172" t="s">
        <v>5</v>
      </c>
      <c r="N172" s="4">
        <v>10826.84</v>
      </c>
      <c r="O172" t="s">
        <v>985</v>
      </c>
      <c r="P172" s="4">
        <v>9825.36</v>
      </c>
      <c r="Q172" s="5">
        <v>-5</v>
      </c>
      <c r="R172" t="s">
        <v>986</v>
      </c>
      <c r="S172" t="s">
        <v>987</v>
      </c>
      <c r="T172" t="s">
        <v>988</v>
      </c>
      <c r="U172" t="s">
        <v>989</v>
      </c>
      <c r="V172" s="2">
        <v>44743</v>
      </c>
      <c r="W172" t="s">
        <v>10</v>
      </c>
    </row>
    <row r="173" spans="1:23" ht="14.1" customHeight="1" outlineLevel="2" x14ac:dyDescent="0.25">
      <c r="A173" t="str">
        <f t="shared" si="2"/>
        <v>9990002285SAMSUNG ELETRONICA DA AMAZONIA LTDA12689</v>
      </c>
      <c r="B173" t="s">
        <v>2112</v>
      </c>
      <c r="C173">
        <v>9990002285</v>
      </c>
      <c r="D173" s="2">
        <v>44722</v>
      </c>
      <c r="E173" t="s">
        <v>0</v>
      </c>
      <c r="F173" t="s">
        <v>1</v>
      </c>
      <c r="G173" t="s">
        <v>990</v>
      </c>
      <c r="H173" t="s">
        <v>14</v>
      </c>
      <c r="J173" s="3" t="s">
        <v>4</v>
      </c>
      <c r="K173" s="2">
        <v>44782</v>
      </c>
      <c r="L173" s="4">
        <v>12689</v>
      </c>
      <c r="M173" t="s">
        <v>5</v>
      </c>
      <c r="N173" s="4">
        <v>12689</v>
      </c>
      <c r="O173" t="s">
        <v>991</v>
      </c>
      <c r="P173" s="4">
        <v>11515.27</v>
      </c>
      <c r="Q173" s="5">
        <v>-40</v>
      </c>
      <c r="R173" t="s">
        <v>992</v>
      </c>
      <c r="S173" t="s">
        <v>993</v>
      </c>
      <c r="T173" t="s">
        <v>994</v>
      </c>
      <c r="U173" t="s">
        <v>995</v>
      </c>
      <c r="V173" s="2">
        <v>44743</v>
      </c>
      <c r="W173" t="s">
        <v>10</v>
      </c>
    </row>
    <row r="174" spans="1:23" ht="14.1" customHeight="1" outlineLevel="2" x14ac:dyDescent="0.25">
      <c r="A174" t="str">
        <f t="shared" si="2"/>
        <v>9990002285SAMSUNG ELETRONICA DA AMAZONIA LTDA162076,76</v>
      </c>
      <c r="B174" t="s">
        <v>2113</v>
      </c>
      <c r="C174">
        <v>9990002285</v>
      </c>
      <c r="D174" s="2">
        <v>44630</v>
      </c>
      <c r="E174" t="s">
        <v>0</v>
      </c>
      <c r="F174" t="s">
        <v>1</v>
      </c>
      <c r="G174" t="s">
        <v>996</v>
      </c>
      <c r="H174" t="s">
        <v>14</v>
      </c>
      <c r="J174" s="3" t="s">
        <v>4</v>
      </c>
      <c r="K174" s="2">
        <v>44747</v>
      </c>
      <c r="L174" s="4">
        <v>162076.76</v>
      </c>
      <c r="M174" t="s">
        <v>5</v>
      </c>
      <c r="N174" s="4">
        <v>162076.76</v>
      </c>
      <c r="O174" t="s">
        <v>997</v>
      </c>
      <c r="P174" s="4">
        <v>147084.66</v>
      </c>
      <c r="Q174" s="5">
        <v>-5</v>
      </c>
      <c r="R174" t="s">
        <v>998</v>
      </c>
      <c r="S174" t="s">
        <v>999</v>
      </c>
      <c r="T174" t="s">
        <v>1000</v>
      </c>
      <c r="U174" t="s">
        <v>1001</v>
      </c>
      <c r="V174" s="2">
        <v>44743</v>
      </c>
      <c r="W174" t="s">
        <v>10</v>
      </c>
    </row>
    <row r="175" spans="1:23" ht="14.1" customHeight="1" outlineLevel="2" x14ac:dyDescent="0.25">
      <c r="A175" t="str">
        <f t="shared" si="2"/>
        <v>9990002285SAMSUNG ELETRONICA DA AMAZONIA LTDA8373,75</v>
      </c>
      <c r="B175" t="s">
        <v>2114</v>
      </c>
      <c r="C175">
        <v>9990002285</v>
      </c>
      <c r="D175" s="2">
        <v>44692</v>
      </c>
      <c r="E175" t="s">
        <v>0</v>
      </c>
      <c r="F175" t="s">
        <v>1</v>
      </c>
      <c r="G175" t="s">
        <v>1002</v>
      </c>
      <c r="H175" t="s">
        <v>14</v>
      </c>
      <c r="J175" s="3" t="s">
        <v>4</v>
      </c>
      <c r="K175" s="2">
        <v>44752</v>
      </c>
      <c r="L175" s="4">
        <v>8373.75</v>
      </c>
      <c r="M175" t="s">
        <v>5</v>
      </c>
      <c r="N175" s="4">
        <v>8373.75</v>
      </c>
      <c r="O175" t="s">
        <v>1003</v>
      </c>
      <c r="P175" s="4">
        <v>7599.17</v>
      </c>
      <c r="Q175" s="5">
        <v>-10</v>
      </c>
      <c r="R175" t="s">
        <v>1004</v>
      </c>
      <c r="S175" t="s">
        <v>1005</v>
      </c>
      <c r="T175" t="s">
        <v>18</v>
      </c>
      <c r="U175" t="s">
        <v>1006</v>
      </c>
      <c r="V175" s="2">
        <v>44743</v>
      </c>
      <c r="W175" t="s">
        <v>10</v>
      </c>
    </row>
    <row r="176" spans="1:23" ht="14.1" customHeight="1" outlineLevel="2" x14ac:dyDescent="0.25">
      <c r="A176" t="str">
        <f t="shared" si="2"/>
        <v>9990002285SAMSUNG ELETRONICA DA AMAZONIA LTDA145096,41</v>
      </c>
      <c r="B176" t="s">
        <v>2115</v>
      </c>
      <c r="C176">
        <v>9990002285</v>
      </c>
      <c r="D176" s="2">
        <v>44701</v>
      </c>
      <c r="E176" t="s">
        <v>0</v>
      </c>
      <c r="F176" t="s">
        <v>1</v>
      </c>
      <c r="G176" t="s">
        <v>1007</v>
      </c>
      <c r="H176" t="s">
        <v>14</v>
      </c>
      <c r="J176" s="3" t="s">
        <v>4</v>
      </c>
      <c r="K176" s="2">
        <v>44761</v>
      </c>
      <c r="L176" s="4">
        <v>145096.41</v>
      </c>
      <c r="M176" t="s">
        <v>5</v>
      </c>
      <c r="N176" s="4">
        <v>145096.41</v>
      </c>
      <c r="O176" t="s">
        <v>1008</v>
      </c>
      <c r="P176" s="4">
        <v>131674.99</v>
      </c>
      <c r="Q176" s="5">
        <v>-19</v>
      </c>
      <c r="R176" t="s">
        <v>1009</v>
      </c>
      <c r="S176" t="s">
        <v>1010</v>
      </c>
      <c r="T176" t="s">
        <v>1011</v>
      </c>
      <c r="U176" t="s">
        <v>1012</v>
      </c>
      <c r="V176" s="2">
        <v>44743</v>
      </c>
      <c r="W176" t="s">
        <v>10</v>
      </c>
    </row>
    <row r="177" spans="1:23" ht="14.1" customHeight="1" outlineLevel="2" x14ac:dyDescent="0.25">
      <c r="A177" t="str">
        <f t="shared" si="2"/>
        <v>9990002285SAMSUNG ELETRONICA DA AMAZONIA LTDA8373,75</v>
      </c>
      <c r="B177" t="s">
        <v>2114</v>
      </c>
      <c r="C177">
        <v>9990002285</v>
      </c>
      <c r="D177" s="2">
        <v>44701</v>
      </c>
      <c r="E177" t="s">
        <v>0</v>
      </c>
      <c r="F177" t="s">
        <v>1</v>
      </c>
      <c r="G177" t="s">
        <v>1013</v>
      </c>
      <c r="H177" t="s">
        <v>14</v>
      </c>
      <c r="J177" s="3" t="s">
        <v>4</v>
      </c>
      <c r="K177" s="2">
        <v>44761</v>
      </c>
      <c r="L177" s="4">
        <v>8373.75</v>
      </c>
      <c r="M177" t="s">
        <v>5</v>
      </c>
      <c r="N177" s="4">
        <v>8373.75</v>
      </c>
      <c r="O177" t="s">
        <v>1014</v>
      </c>
      <c r="P177" s="4">
        <v>7599.17</v>
      </c>
      <c r="Q177" s="5">
        <v>-19</v>
      </c>
      <c r="R177" t="s">
        <v>1015</v>
      </c>
      <c r="S177" t="s">
        <v>1016</v>
      </c>
      <c r="T177" t="s">
        <v>1017</v>
      </c>
      <c r="U177" t="s">
        <v>1018</v>
      </c>
      <c r="V177" s="2">
        <v>44743</v>
      </c>
      <c r="W177" t="s">
        <v>10</v>
      </c>
    </row>
    <row r="178" spans="1:23" ht="14.1" customHeight="1" outlineLevel="2" x14ac:dyDescent="0.25">
      <c r="A178" t="str">
        <f t="shared" si="2"/>
        <v>9990002285SAMSUNG ELETRONICA DA AMAZONIA LTDA145096,41</v>
      </c>
      <c r="B178" t="s">
        <v>2115</v>
      </c>
      <c r="C178">
        <v>9990002285</v>
      </c>
      <c r="D178" s="2">
        <v>44722</v>
      </c>
      <c r="E178" t="s">
        <v>0</v>
      </c>
      <c r="F178" t="s">
        <v>1</v>
      </c>
      <c r="G178" t="s">
        <v>1019</v>
      </c>
      <c r="H178" t="s">
        <v>14</v>
      </c>
      <c r="J178" s="3" t="s">
        <v>4</v>
      </c>
      <c r="K178" s="2">
        <v>44782</v>
      </c>
      <c r="L178" s="4">
        <v>145096.41</v>
      </c>
      <c r="M178" t="s">
        <v>5</v>
      </c>
      <c r="N178" s="4">
        <v>145096.41</v>
      </c>
      <c r="O178" t="s">
        <v>1020</v>
      </c>
      <c r="P178" s="4">
        <v>131674.99</v>
      </c>
      <c r="Q178" s="5">
        <v>-40</v>
      </c>
      <c r="R178" t="s">
        <v>1021</v>
      </c>
      <c r="S178" t="s">
        <v>1022</v>
      </c>
      <c r="T178" t="s">
        <v>1011</v>
      </c>
      <c r="U178" t="s">
        <v>1023</v>
      </c>
      <c r="V178" s="2">
        <v>44743</v>
      </c>
      <c r="W178" t="s">
        <v>10</v>
      </c>
    </row>
    <row r="179" spans="1:23" ht="14.1" customHeight="1" outlineLevel="2" x14ac:dyDescent="0.25">
      <c r="A179" t="str">
        <f t="shared" si="2"/>
        <v>9990002285SAMSUNG ELETRONICA DA AMAZONIA LTDA8373,75</v>
      </c>
      <c r="B179" t="s">
        <v>2114</v>
      </c>
      <c r="C179">
        <v>9990002285</v>
      </c>
      <c r="D179" s="2">
        <v>44722</v>
      </c>
      <c r="E179" t="s">
        <v>0</v>
      </c>
      <c r="F179" t="s">
        <v>1</v>
      </c>
      <c r="G179" t="s">
        <v>1024</v>
      </c>
      <c r="H179" t="s">
        <v>14</v>
      </c>
      <c r="J179" s="3" t="s">
        <v>4</v>
      </c>
      <c r="K179" s="2">
        <v>44782</v>
      </c>
      <c r="L179" s="4">
        <v>8373.75</v>
      </c>
      <c r="M179" t="s">
        <v>5</v>
      </c>
      <c r="N179" s="4">
        <v>8373.75</v>
      </c>
      <c r="O179" t="s">
        <v>1025</v>
      </c>
      <c r="P179" s="4">
        <v>7599.17</v>
      </c>
      <c r="Q179" s="5">
        <v>-40</v>
      </c>
      <c r="R179" t="s">
        <v>1026</v>
      </c>
      <c r="S179" t="s">
        <v>1027</v>
      </c>
      <c r="T179" t="s">
        <v>1017</v>
      </c>
      <c r="U179" t="s">
        <v>1028</v>
      </c>
      <c r="V179" s="2">
        <v>44743</v>
      </c>
      <c r="W179" t="s">
        <v>10</v>
      </c>
    </row>
    <row r="180" spans="1:23" ht="14.1" customHeight="1" outlineLevel="2" x14ac:dyDescent="0.25">
      <c r="A180" t="str">
        <f t="shared" si="2"/>
        <v>9990002421BUD COMERCIO DE ELETRODOMESTICOS10000</v>
      </c>
      <c r="B180" t="s">
        <v>2116</v>
      </c>
      <c r="C180">
        <v>9990002421</v>
      </c>
      <c r="D180" s="2">
        <v>44722</v>
      </c>
      <c r="E180" t="s">
        <v>0</v>
      </c>
      <c r="F180" t="s">
        <v>1</v>
      </c>
      <c r="G180" t="s">
        <v>1029</v>
      </c>
      <c r="H180" t="s">
        <v>22</v>
      </c>
      <c r="J180" s="3" t="s">
        <v>4</v>
      </c>
      <c r="K180" s="2">
        <v>44752</v>
      </c>
      <c r="L180" s="4">
        <v>10000</v>
      </c>
      <c r="M180" t="s">
        <v>5</v>
      </c>
      <c r="N180" s="4">
        <v>10000</v>
      </c>
      <c r="O180" t="s">
        <v>1030</v>
      </c>
      <c r="P180" s="4">
        <v>9075</v>
      </c>
      <c r="Q180" s="5">
        <v>-10</v>
      </c>
      <c r="R180" t="s">
        <v>1031</v>
      </c>
      <c r="S180" t="s">
        <v>1032</v>
      </c>
      <c r="T180" t="s">
        <v>4</v>
      </c>
      <c r="U180" t="s">
        <v>1033</v>
      </c>
      <c r="V180" s="2">
        <v>44743</v>
      </c>
      <c r="W180" t="s">
        <v>10</v>
      </c>
    </row>
    <row r="181" spans="1:23" ht="14.1" customHeight="1" outlineLevel="2" x14ac:dyDescent="0.25">
      <c r="A181" t="str">
        <f t="shared" si="2"/>
        <v>9990002903BELEZA. COM COMERCIO DE PRODUTOS DE4500</v>
      </c>
      <c r="B181" t="s">
        <v>2117</v>
      </c>
      <c r="C181">
        <v>9990002903</v>
      </c>
      <c r="D181" s="2">
        <v>44722</v>
      </c>
      <c r="E181" t="s">
        <v>0</v>
      </c>
      <c r="F181" t="s">
        <v>1</v>
      </c>
      <c r="G181" t="s">
        <v>1034</v>
      </c>
      <c r="H181" t="s">
        <v>1035</v>
      </c>
      <c r="J181" s="3" t="s">
        <v>4</v>
      </c>
      <c r="K181" s="2">
        <v>44752</v>
      </c>
      <c r="L181" s="4">
        <v>4500</v>
      </c>
      <c r="M181" t="s">
        <v>5</v>
      </c>
      <c r="N181" s="4">
        <v>4500</v>
      </c>
      <c r="O181" t="s">
        <v>1036</v>
      </c>
      <c r="P181" s="4">
        <v>4083.75</v>
      </c>
      <c r="Q181" s="5">
        <v>-10</v>
      </c>
      <c r="R181" t="s">
        <v>1037</v>
      </c>
      <c r="S181" t="s">
        <v>1038</v>
      </c>
      <c r="T181" t="s">
        <v>1039</v>
      </c>
      <c r="U181" t="s">
        <v>1040</v>
      </c>
      <c r="V181" s="2">
        <v>44743</v>
      </c>
      <c r="W181" t="s">
        <v>10</v>
      </c>
    </row>
    <row r="182" spans="1:23" ht="14.1" customHeight="1" outlineLevel="2" x14ac:dyDescent="0.25">
      <c r="A182" t="str">
        <f t="shared" si="2"/>
        <v>9990003933Multilaser Industrial SA40000</v>
      </c>
      <c r="B182" t="s">
        <v>2118</v>
      </c>
      <c r="C182">
        <v>9990003933</v>
      </c>
      <c r="D182" s="2">
        <v>44722</v>
      </c>
      <c r="E182" t="s">
        <v>0</v>
      </c>
      <c r="F182" t="s">
        <v>1</v>
      </c>
      <c r="G182" t="s">
        <v>1041</v>
      </c>
      <c r="H182" t="s">
        <v>42</v>
      </c>
      <c r="J182" s="3" t="s">
        <v>4</v>
      </c>
      <c r="K182" s="2">
        <v>44757</v>
      </c>
      <c r="L182" s="4">
        <v>40000</v>
      </c>
      <c r="M182" t="s">
        <v>5</v>
      </c>
      <c r="N182" s="4">
        <v>40000</v>
      </c>
      <c r="O182" t="s">
        <v>1042</v>
      </c>
      <c r="P182" s="4">
        <v>36300</v>
      </c>
      <c r="Q182" s="5">
        <v>-15</v>
      </c>
      <c r="R182" t="s">
        <v>1043</v>
      </c>
      <c r="S182" t="s">
        <v>1044</v>
      </c>
      <c r="T182" t="s">
        <v>26</v>
      </c>
      <c r="U182" t="s">
        <v>1045</v>
      </c>
      <c r="V182" s="2">
        <v>44743</v>
      </c>
      <c r="W182" t="s">
        <v>10</v>
      </c>
    </row>
    <row r="183" spans="1:23" ht="14.1" customHeight="1" outlineLevel="2" x14ac:dyDescent="0.25">
      <c r="A183" t="str">
        <f t="shared" si="2"/>
        <v>9990003933Multilaser Industrial SA40000</v>
      </c>
      <c r="B183" t="s">
        <v>2118</v>
      </c>
      <c r="C183">
        <v>9990003933</v>
      </c>
      <c r="D183" s="2">
        <v>44722</v>
      </c>
      <c r="E183" t="s">
        <v>0</v>
      </c>
      <c r="F183" t="s">
        <v>1</v>
      </c>
      <c r="G183" t="s">
        <v>1046</v>
      </c>
      <c r="H183" t="s">
        <v>42</v>
      </c>
      <c r="J183" s="3" t="s">
        <v>4</v>
      </c>
      <c r="K183" s="2">
        <v>44757</v>
      </c>
      <c r="L183" s="4">
        <v>40000</v>
      </c>
      <c r="M183" t="s">
        <v>5</v>
      </c>
      <c r="N183" s="4">
        <v>40000</v>
      </c>
      <c r="O183" t="s">
        <v>1047</v>
      </c>
      <c r="P183" s="4">
        <v>36299.99</v>
      </c>
      <c r="Q183" s="5">
        <v>-15</v>
      </c>
      <c r="R183" t="s">
        <v>1048</v>
      </c>
      <c r="S183" t="s">
        <v>1049</v>
      </c>
      <c r="T183" t="s">
        <v>4</v>
      </c>
      <c r="U183" t="s">
        <v>1050</v>
      </c>
      <c r="V183" s="2">
        <v>44743</v>
      </c>
      <c r="W183" t="s">
        <v>10</v>
      </c>
    </row>
    <row r="184" spans="1:23" ht="14.1" customHeight="1" outlineLevel="2" x14ac:dyDescent="0.25">
      <c r="A184" t="str">
        <f t="shared" si="2"/>
        <v>9990003933Multilaser Industrial SA54500</v>
      </c>
      <c r="B184" t="s">
        <v>2119</v>
      </c>
      <c r="C184">
        <v>9990003933</v>
      </c>
      <c r="D184" s="2">
        <v>44722</v>
      </c>
      <c r="E184" t="s">
        <v>0</v>
      </c>
      <c r="F184" t="s">
        <v>1</v>
      </c>
      <c r="G184" t="s">
        <v>1051</v>
      </c>
      <c r="H184" t="s">
        <v>42</v>
      </c>
      <c r="J184" s="3" t="s">
        <v>4</v>
      </c>
      <c r="K184" s="2">
        <v>44752</v>
      </c>
      <c r="L184" s="4">
        <v>54500</v>
      </c>
      <c r="M184" t="s">
        <v>5</v>
      </c>
      <c r="N184" s="4">
        <v>54500</v>
      </c>
      <c r="O184" t="s">
        <v>1052</v>
      </c>
      <c r="P184" s="4">
        <v>49458.75</v>
      </c>
      <c r="Q184" s="5">
        <v>-10</v>
      </c>
      <c r="R184" t="s">
        <v>1053</v>
      </c>
      <c r="S184" t="s">
        <v>1054</v>
      </c>
      <c r="T184" t="s">
        <v>26</v>
      </c>
      <c r="U184" t="s">
        <v>1055</v>
      </c>
      <c r="V184" s="2">
        <v>44743</v>
      </c>
      <c r="W184" t="s">
        <v>10</v>
      </c>
    </row>
    <row r="185" spans="1:23" ht="14.1" customHeight="1" outlineLevel="2" x14ac:dyDescent="0.25">
      <c r="A185" t="str">
        <f t="shared" si="2"/>
        <v>9990003933Multilaser Industrial SA1306</v>
      </c>
      <c r="B185" t="s">
        <v>2120</v>
      </c>
      <c r="C185">
        <v>9990003933</v>
      </c>
      <c r="D185" s="2">
        <v>44722</v>
      </c>
      <c r="E185" t="s">
        <v>0</v>
      </c>
      <c r="F185" t="s">
        <v>1</v>
      </c>
      <c r="G185" t="s">
        <v>1056</v>
      </c>
      <c r="H185" t="s">
        <v>42</v>
      </c>
      <c r="J185" s="3" t="s">
        <v>4</v>
      </c>
      <c r="K185" s="2">
        <v>44757</v>
      </c>
      <c r="L185" s="4">
        <v>1306</v>
      </c>
      <c r="M185" t="s">
        <v>5</v>
      </c>
      <c r="N185" s="4">
        <v>1306</v>
      </c>
      <c r="O185" t="s">
        <v>1057</v>
      </c>
      <c r="P185" s="4">
        <v>1185.19</v>
      </c>
      <c r="Q185" s="5">
        <v>-15</v>
      </c>
      <c r="R185" t="s">
        <v>1058</v>
      </c>
      <c r="S185" t="s">
        <v>1059</v>
      </c>
      <c r="T185" t="s">
        <v>223</v>
      </c>
      <c r="U185" t="s">
        <v>1060</v>
      </c>
      <c r="V185" s="2">
        <v>44743</v>
      </c>
      <c r="W185" t="s">
        <v>10</v>
      </c>
    </row>
    <row r="186" spans="1:23" ht="14.1" customHeight="1" outlineLevel="2" x14ac:dyDescent="0.25">
      <c r="A186" t="str">
        <f t="shared" si="2"/>
        <v>9990003999FAGANELLO COMERCIO E SERVICOS EIREL45200</v>
      </c>
      <c r="B186" t="s">
        <v>2121</v>
      </c>
      <c r="C186">
        <v>9990003999</v>
      </c>
      <c r="D186" s="2">
        <v>44722</v>
      </c>
      <c r="E186" t="s">
        <v>0</v>
      </c>
      <c r="F186" t="s">
        <v>1</v>
      </c>
      <c r="G186" t="s">
        <v>1061</v>
      </c>
      <c r="H186" t="s">
        <v>1062</v>
      </c>
      <c r="J186" s="3" t="s">
        <v>4</v>
      </c>
      <c r="K186" s="2">
        <v>44752</v>
      </c>
      <c r="L186" s="4">
        <v>45200</v>
      </c>
      <c r="M186" t="s">
        <v>5</v>
      </c>
      <c r="N186" s="4">
        <v>45200</v>
      </c>
      <c r="O186" t="s">
        <v>1063</v>
      </c>
      <c r="P186" s="4">
        <v>41019</v>
      </c>
      <c r="Q186" s="5">
        <v>-10</v>
      </c>
      <c r="R186" t="s">
        <v>1064</v>
      </c>
      <c r="S186" t="s">
        <v>1065</v>
      </c>
      <c r="T186" t="s">
        <v>4</v>
      </c>
      <c r="U186" t="s">
        <v>1066</v>
      </c>
      <c r="V186" s="2">
        <v>44743</v>
      </c>
      <c r="W186" t="s">
        <v>10</v>
      </c>
    </row>
    <row r="187" spans="1:23" ht="14.1" customHeight="1" outlineLevel="2" x14ac:dyDescent="0.25">
      <c r="A187" t="str">
        <f t="shared" si="2"/>
        <v>9990004075DOCE LAR G7 IMPORTACAO COMERCIO E D21000</v>
      </c>
      <c r="B187" t="s">
        <v>2122</v>
      </c>
      <c r="C187">
        <v>9990004075</v>
      </c>
      <c r="D187" s="2">
        <v>44722</v>
      </c>
      <c r="E187" t="s">
        <v>0</v>
      </c>
      <c r="F187" t="s">
        <v>1</v>
      </c>
      <c r="G187" t="s">
        <v>1067</v>
      </c>
      <c r="H187" t="s">
        <v>1068</v>
      </c>
      <c r="J187" s="3" t="s">
        <v>4</v>
      </c>
      <c r="K187" s="2">
        <v>44752</v>
      </c>
      <c r="L187" s="4">
        <v>21000</v>
      </c>
      <c r="M187" t="s">
        <v>5</v>
      </c>
      <c r="N187" s="4">
        <v>21000</v>
      </c>
      <c r="O187" t="s">
        <v>1069</v>
      </c>
      <c r="P187" s="4">
        <v>19057.5</v>
      </c>
      <c r="Q187" s="5">
        <v>-10</v>
      </c>
      <c r="R187" t="s">
        <v>1070</v>
      </c>
      <c r="S187" t="s">
        <v>1071</v>
      </c>
      <c r="T187" t="s">
        <v>4</v>
      </c>
      <c r="U187" t="s">
        <v>1072</v>
      </c>
      <c r="V187" s="2">
        <v>44743</v>
      </c>
      <c r="W187" t="s">
        <v>10</v>
      </c>
    </row>
    <row r="188" spans="1:23" ht="14.1" customHeight="1" outlineLevel="2" x14ac:dyDescent="0.25">
      <c r="A188" t="str">
        <f t="shared" si="2"/>
        <v>9990004078Lenovo Comercial e Distribuição Lim24782,96</v>
      </c>
      <c r="B188" t="s">
        <v>2123</v>
      </c>
      <c r="C188">
        <v>9990004078</v>
      </c>
      <c r="D188" s="2">
        <v>44722</v>
      </c>
      <c r="E188" t="s">
        <v>0</v>
      </c>
      <c r="F188" t="s">
        <v>1</v>
      </c>
      <c r="G188" t="s">
        <v>1073</v>
      </c>
      <c r="H188" t="s">
        <v>53</v>
      </c>
      <c r="J188" s="3" t="s">
        <v>4</v>
      </c>
      <c r="K188" s="2">
        <v>44752</v>
      </c>
      <c r="L188" s="4">
        <v>24782.959999999999</v>
      </c>
      <c r="M188" t="s">
        <v>5</v>
      </c>
      <c r="N188" s="4">
        <v>24782.959999999999</v>
      </c>
      <c r="O188" t="s">
        <v>1074</v>
      </c>
      <c r="P188" s="4">
        <v>22490.54</v>
      </c>
      <c r="Q188" s="5">
        <v>-10</v>
      </c>
      <c r="R188" t="s">
        <v>1075</v>
      </c>
      <c r="S188" t="s">
        <v>1076</v>
      </c>
      <c r="T188" t="s">
        <v>4</v>
      </c>
      <c r="U188" t="s">
        <v>1077</v>
      </c>
      <c r="V188" s="2">
        <v>44743</v>
      </c>
      <c r="W188" t="s">
        <v>10</v>
      </c>
    </row>
    <row r="189" spans="1:23" ht="14.1" customHeight="1" outlineLevel="2" x14ac:dyDescent="0.25">
      <c r="A189" t="str">
        <f t="shared" si="2"/>
        <v>9990004265JOHNSON &amp; JOHNSON DO BRASIL INDUSTR24844</v>
      </c>
      <c r="B189" t="s">
        <v>2124</v>
      </c>
      <c r="C189">
        <v>9990004265</v>
      </c>
      <c r="D189" s="2">
        <v>44692</v>
      </c>
      <c r="E189" t="s">
        <v>0</v>
      </c>
      <c r="F189" t="s">
        <v>1</v>
      </c>
      <c r="G189" t="s">
        <v>1078</v>
      </c>
      <c r="H189" t="s">
        <v>64</v>
      </c>
      <c r="J189" s="3" t="s">
        <v>4</v>
      </c>
      <c r="K189" s="2">
        <v>44752</v>
      </c>
      <c r="L189" s="4">
        <v>24844</v>
      </c>
      <c r="M189" t="s">
        <v>5</v>
      </c>
      <c r="N189" s="4">
        <v>24844</v>
      </c>
      <c r="O189" t="s">
        <v>1079</v>
      </c>
      <c r="P189" s="4">
        <v>22545.93</v>
      </c>
      <c r="Q189" s="5">
        <v>-10</v>
      </c>
      <c r="R189" t="s">
        <v>1080</v>
      </c>
      <c r="S189" t="s">
        <v>1081</v>
      </c>
      <c r="T189" t="s">
        <v>4</v>
      </c>
      <c r="U189" t="s">
        <v>1082</v>
      </c>
      <c r="V189" s="2">
        <v>44743</v>
      </c>
      <c r="W189" t="s">
        <v>10</v>
      </c>
    </row>
    <row r="190" spans="1:23" ht="14.1" customHeight="1" outlineLevel="2" x14ac:dyDescent="0.25">
      <c r="A190" t="str">
        <f t="shared" si="2"/>
        <v>9990004265JOHNSON &amp; JOHNSON DO BRASIL INDUSTR35000</v>
      </c>
      <c r="B190" t="s">
        <v>2125</v>
      </c>
      <c r="C190">
        <v>9990004265</v>
      </c>
      <c r="D190" s="2">
        <v>44722</v>
      </c>
      <c r="E190" t="s">
        <v>0</v>
      </c>
      <c r="F190" t="s">
        <v>1</v>
      </c>
      <c r="G190" t="s">
        <v>1083</v>
      </c>
      <c r="H190" t="s">
        <v>64</v>
      </c>
      <c r="J190" s="3" t="s">
        <v>4</v>
      </c>
      <c r="K190" s="2">
        <v>44752</v>
      </c>
      <c r="L190" s="4">
        <v>35000</v>
      </c>
      <c r="M190" t="s">
        <v>5</v>
      </c>
      <c r="N190" s="4">
        <v>35000</v>
      </c>
      <c r="O190" t="s">
        <v>1084</v>
      </c>
      <c r="P190" s="4">
        <v>31762.5</v>
      </c>
      <c r="Q190" s="5">
        <v>-10</v>
      </c>
      <c r="R190" t="s">
        <v>1085</v>
      </c>
      <c r="S190" t="s">
        <v>1086</v>
      </c>
      <c r="T190" t="s">
        <v>26</v>
      </c>
      <c r="U190" t="s">
        <v>1087</v>
      </c>
      <c r="V190" s="2">
        <v>44743</v>
      </c>
      <c r="W190" t="s">
        <v>10</v>
      </c>
    </row>
    <row r="191" spans="1:23" ht="14.1" customHeight="1" outlineLevel="2" x14ac:dyDescent="0.25">
      <c r="A191" t="str">
        <f t="shared" si="2"/>
        <v>9990004265JOHNSON &amp; JOHNSON DO BRASIL INDUSTR27914,66</v>
      </c>
      <c r="B191" t="s">
        <v>2126</v>
      </c>
      <c r="C191">
        <v>9990004265</v>
      </c>
      <c r="D191" s="2">
        <v>44692</v>
      </c>
      <c r="E191" t="s">
        <v>0</v>
      </c>
      <c r="F191" t="s">
        <v>1</v>
      </c>
      <c r="G191" t="s">
        <v>1088</v>
      </c>
      <c r="H191" t="s">
        <v>64</v>
      </c>
      <c r="J191" s="3" t="s">
        <v>4</v>
      </c>
      <c r="K191" s="2">
        <v>44752</v>
      </c>
      <c r="L191" s="4">
        <v>27914.66</v>
      </c>
      <c r="M191" t="s">
        <v>5</v>
      </c>
      <c r="N191" s="4">
        <v>27914.66</v>
      </c>
      <c r="O191" t="s">
        <v>1089</v>
      </c>
      <c r="P191" s="4">
        <v>25332.560000000001</v>
      </c>
      <c r="Q191" s="5">
        <v>-10</v>
      </c>
      <c r="R191" t="s">
        <v>1090</v>
      </c>
      <c r="S191" t="s">
        <v>1091</v>
      </c>
      <c r="T191" t="s">
        <v>4</v>
      </c>
      <c r="U191" t="s">
        <v>1092</v>
      </c>
      <c r="V191" s="2">
        <v>44743</v>
      </c>
      <c r="W191" t="s">
        <v>10</v>
      </c>
    </row>
    <row r="192" spans="1:23" ht="14.1" customHeight="1" outlineLevel="2" x14ac:dyDescent="0.25">
      <c r="A192" t="str">
        <f t="shared" si="2"/>
        <v>9990004265JOHNSON &amp; JOHNSON DO BRASIL INDUSTR17184</v>
      </c>
      <c r="B192" t="s">
        <v>2127</v>
      </c>
      <c r="C192">
        <v>9990004265</v>
      </c>
      <c r="D192" s="2">
        <v>44722</v>
      </c>
      <c r="E192" t="s">
        <v>0</v>
      </c>
      <c r="F192" t="s">
        <v>1</v>
      </c>
      <c r="G192" t="s">
        <v>1093</v>
      </c>
      <c r="H192" t="s">
        <v>64</v>
      </c>
      <c r="J192" s="3" t="s">
        <v>4</v>
      </c>
      <c r="K192" s="2">
        <v>44782</v>
      </c>
      <c r="L192" s="4">
        <v>17184</v>
      </c>
      <c r="M192" t="s">
        <v>5</v>
      </c>
      <c r="N192" s="4">
        <v>17184</v>
      </c>
      <c r="O192" t="s">
        <v>1094</v>
      </c>
      <c r="P192" s="4">
        <v>15594.48</v>
      </c>
      <c r="Q192" s="5">
        <v>-40</v>
      </c>
      <c r="R192" t="s">
        <v>1095</v>
      </c>
      <c r="S192" t="s">
        <v>1096</v>
      </c>
      <c r="T192" t="s">
        <v>4</v>
      </c>
      <c r="U192" t="s">
        <v>1097</v>
      </c>
      <c r="V192" s="2">
        <v>44743</v>
      </c>
      <c r="W192" t="s">
        <v>10</v>
      </c>
    </row>
    <row r="193" spans="1:23" ht="14.1" customHeight="1" outlineLevel="2" x14ac:dyDescent="0.25">
      <c r="A193" t="str">
        <f t="shared" si="2"/>
        <v>9990004417JACOBS DOUWE EGBERTS BR COMERCIALIZ9804</v>
      </c>
      <c r="B193" t="s">
        <v>2128</v>
      </c>
      <c r="C193">
        <v>9990004417</v>
      </c>
      <c r="D193" s="2">
        <v>44722</v>
      </c>
      <c r="E193" t="s">
        <v>0</v>
      </c>
      <c r="F193" t="s">
        <v>1</v>
      </c>
      <c r="G193" t="s">
        <v>1098</v>
      </c>
      <c r="H193" t="s">
        <v>1099</v>
      </c>
      <c r="J193" s="3" t="s">
        <v>4</v>
      </c>
      <c r="K193" s="2">
        <v>44752</v>
      </c>
      <c r="L193" s="4">
        <v>9804</v>
      </c>
      <c r="M193" t="s">
        <v>5</v>
      </c>
      <c r="N193" s="4">
        <v>9804</v>
      </c>
      <c r="O193" t="s">
        <v>1100</v>
      </c>
      <c r="P193" s="4">
        <v>8897.1299999999992</v>
      </c>
      <c r="Q193" s="5">
        <v>-10</v>
      </c>
      <c r="R193" t="s">
        <v>1101</v>
      </c>
      <c r="S193" t="s">
        <v>1102</v>
      </c>
      <c r="T193" t="s">
        <v>1103</v>
      </c>
      <c r="U193" t="s">
        <v>1104</v>
      </c>
      <c r="V193" s="2">
        <v>44743</v>
      </c>
      <c r="W193" t="s">
        <v>10</v>
      </c>
    </row>
    <row r="194" spans="1:23" ht="14.1" customHeight="1" outlineLevel="2" x14ac:dyDescent="0.25">
      <c r="A194" t="str">
        <f t="shared" si="2"/>
        <v>9990004535RECKITT BENCKISER (BRASIL) COMERCIA37698,68</v>
      </c>
      <c r="B194" t="s">
        <v>2129</v>
      </c>
      <c r="C194">
        <v>9990004535</v>
      </c>
      <c r="D194" s="2">
        <v>44722</v>
      </c>
      <c r="E194" t="s">
        <v>0</v>
      </c>
      <c r="F194" t="s">
        <v>1</v>
      </c>
      <c r="G194" t="s">
        <v>1105</v>
      </c>
      <c r="H194" t="s">
        <v>83</v>
      </c>
      <c r="J194" s="3" t="s">
        <v>4</v>
      </c>
      <c r="K194" s="2">
        <v>44772</v>
      </c>
      <c r="L194" s="4">
        <v>37698.68</v>
      </c>
      <c r="M194" t="s">
        <v>5</v>
      </c>
      <c r="N194" s="4">
        <v>37698.68</v>
      </c>
      <c r="O194" t="s">
        <v>1106</v>
      </c>
      <c r="P194" s="4">
        <v>34211.550000000003</v>
      </c>
      <c r="Q194" s="5">
        <v>-30</v>
      </c>
      <c r="R194" t="s">
        <v>1107</v>
      </c>
      <c r="S194" t="s">
        <v>1108</v>
      </c>
      <c r="T194" t="s">
        <v>1109</v>
      </c>
      <c r="U194" t="s">
        <v>1110</v>
      </c>
      <c r="V194" s="2">
        <v>44743</v>
      </c>
      <c r="W194" t="s">
        <v>10</v>
      </c>
    </row>
    <row r="195" spans="1:23" ht="14.1" customHeight="1" outlineLevel="2" x14ac:dyDescent="0.25">
      <c r="A195" t="str">
        <f t="shared" ref="A195:A258" si="3">+C195&amp;H195&amp;L195</f>
        <v>9990004591Seagate Technology LLC3359</v>
      </c>
      <c r="B195" t="s">
        <v>2130</v>
      </c>
      <c r="C195">
        <v>9990004591</v>
      </c>
      <c r="D195" s="2">
        <v>44692</v>
      </c>
      <c r="E195" t="s">
        <v>0</v>
      </c>
      <c r="F195" t="s">
        <v>1</v>
      </c>
      <c r="G195" t="s">
        <v>1111</v>
      </c>
      <c r="H195" t="s">
        <v>109</v>
      </c>
      <c r="J195" s="3" t="s">
        <v>4</v>
      </c>
      <c r="K195" s="2">
        <v>44752</v>
      </c>
      <c r="L195" s="4">
        <v>3359</v>
      </c>
      <c r="M195" t="s">
        <v>5</v>
      </c>
      <c r="N195" s="4">
        <v>3359</v>
      </c>
      <c r="O195" t="s">
        <v>1112</v>
      </c>
      <c r="P195" s="4">
        <v>3048.3</v>
      </c>
      <c r="Q195" s="5">
        <v>-10</v>
      </c>
      <c r="R195" t="s">
        <v>1113</v>
      </c>
      <c r="S195" t="s">
        <v>1114</v>
      </c>
      <c r="T195" t="s">
        <v>4</v>
      </c>
      <c r="U195" t="s">
        <v>1115</v>
      </c>
      <c r="V195" s="2">
        <v>44743</v>
      </c>
      <c r="W195" t="s">
        <v>10</v>
      </c>
    </row>
    <row r="196" spans="1:23" ht="14.1" customHeight="1" outlineLevel="2" x14ac:dyDescent="0.25">
      <c r="A196" t="str">
        <f t="shared" si="3"/>
        <v>9990004591Seagate Technology LLC50929,18</v>
      </c>
      <c r="B196" t="s">
        <v>2131</v>
      </c>
      <c r="C196">
        <v>9990004591</v>
      </c>
      <c r="D196" s="2">
        <v>44722</v>
      </c>
      <c r="E196" t="s">
        <v>0</v>
      </c>
      <c r="F196" t="s">
        <v>1</v>
      </c>
      <c r="G196" t="s">
        <v>1116</v>
      </c>
      <c r="H196" t="s">
        <v>109</v>
      </c>
      <c r="J196" s="3" t="s">
        <v>4</v>
      </c>
      <c r="K196" s="2">
        <v>44782</v>
      </c>
      <c r="L196" s="4">
        <v>50929.18</v>
      </c>
      <c r="M196" t="s">
        <v>5</v>
      </c>
      <c r="N196" s="4">
        <v>50929.18</v>
      </c>
      <c r="O196" t="s">
        <v>1117</v>
      </c>
      <c r="P196" s="4">
        <v>46218.239999999998</v>
      </c>
      <c r="Q196" s="5">
        <v>-40</v>
      </c>
      <c r="R196" t="s">
        <v>1118</v>
      </c>
      <c r="S196" t="s">
        <v>1119</v>
      </c>
      <c r="T196" t="s">
        <v>4</v>
      </c>
      <c r="U196" t="s">
        <v>1120</v>
      </c>
      <c r="V196" s="2">
        <v>44743</v>
      </c>
      <c r="W196" t="s">
        <v>10</v>
      </c>
    </row>
    <row r="197" spans="1:23" ht="14.1" customHeight="1" outlineLevel="2" x14ac:dyDescent="0.25">
      <c r="A197" t="str">
        <f t="shared" si="3"/>
        <v>9990004591Seagate Technology LLC-7649,55</v>
      </c>
      <c r="B197" t="s">
        <v>2132</v>
      </c>
      <c r="C197">
        <v>9990004591</v>
      </c>
      <c r="D197" s="2">
        <v>44530</v>
      </c>
      <c r="E197" t="s">
        <v>4</v>
      </c>
      <c r="F197" t="s">
        <v>134</v>
      </c>
      <c r="G197" t="s">
        <v>1121</v>
      </c>
      <c r="H197" t="s">
        <v>109</v>
      </c>
      <c r="J197" s="3" t="s">
        <v>4</v>
      </c>
      <c r="K197" s="2">
        <v>44869</v>
      </c>
      <c r="L197" s="4">
        <v>-7649.55</v>
      </c>
      <c r="M197" t="s">
        <v>136</v>
      </c>
      <c r="N197" s="4">
        <v>-43219.96</v>
      </c>
      <c r="O197" t="s">
        <v>4</v>
      </c>
      <c r="P197" s="4">
        <v>0</v>
      </c>
      <c r="Q197" s="5">
        <v>-127</v>
      </c>
      <c r="R197" t="s">
        <v>4</v>
      </c>
      <c r="S197" t="s">
        <v>4</v>
      </c>
      <c r="T197" t="s">
        <v>1122</v>
      </c>
      <c r="U197" t="s">
        <v>1123</v>
      </c>
      <c r="V197" s="2">
        <v>44743</v>
      </c>
      <c r="W197" t="s">
        <v>10</v>
      </c>
    </row>
    <row r="198" spans="1:23" ht="14.1" customHeight="1" outlineLevel="2" x14ac:dyDescent="0.25">
      <c r="A198" t="str">
        <f t="shared" si="3"/>
        <v>9990004620DIAGEO BRASIL LTDA19068</v>
      </c>
      <c r="B198" t="s">
        <v>2133</v>
      </c>
      <c r="C198">
        <v>9990004620</v>
      </c>
      <c r="D198" s="2">
        <v>44692</v>
      </c>
      <c r="E198" t="s">
        <v>0</v>
      </c>
      <c r="F198" t="s">
        <v>1</v>
      </c>
      <c r="G198" t="s">
        <v>1124</v>
      </c>
      <c r="H198" t="s">
        <v>166</v>
      </c>
      <c r="J198" s="3" t="s">
        <v>4</v>
      </c>
      <c r="K198" s="2">
        <v>44743</v>
      </c>
      <c r="L198" s="4">
        <v>19068</v>
      </c>
      <c r="M198" t="s">
        <v>5</v>
      </c>
      <c r="N198" s="4">
        <v>19068</v>
      </c>
      <c r="O198" t="s">
        <v>1125</v>
      </c>
      <c r="P198" s="4">
        <v>17304.21</v>
      </c>
      <c r="Q198" s="5">
        <v>-1</v>
      </c>
      <c r="R198" t="s">
        <v>1126</v>
      </c>
      <c r="S198" t="s">
        <v>1127</v>
      </c>
      <c r="T198" t="s">
        <v>1128</v>
      </c>
      <c r="U198" t="s">
        <v>1129</v>
      </c>
      <c r="V198" s="2">
        <v>44743</v>
      </c>
      <c r="W198" t="s">
        <v>10</v>
      </c>
    </row>
    <row r="199" spans="1:23" ht="14.1" customHeight="1" outlineLevel="2" x14ac:dyDescent="0.25">
      <c r="A199" t="str">
        <f t="shared" si="3"/>
        <v>9990004620DIAGEO BRASIL LTDA272060,02</v>
      </c>
      <c r="B199" t="s">
        <v>2134</v>
      </c>
      <c r="C199">
        <v>9990004620</v>
      </c>
      <c r="D199" s="2">
        <v>44727</v>
      </c>
      <c r="E199" t="s">
        <v>0</v>
      </c>
      <c r="F199" t="s">
        <v>1</v>
      </c>
      <c r="G199" t="s">
        <v>1130</v>
      </c>
      <c r="H199" t="s">
        <v>166</v>
      </c>
      <c r="J199" s="3" t="s">
        <v>4</v>
      </c>
      <c r="K199" s="2">
        <v>44757</v>
      </c>
      <c r="L199" s="4">
        <v>272060.02</v>
      </c>
      <c r="M199" t="s">
        <v>5</v>
      </c>
      <c r="N199" s="4">
        <v>272060.02</v>
      </c>
      <c r="O199" t="s">
        <v>1131</v>
      </c>
      <c r="P199" s="4">
        <v>246894.47</v>
      </c>
      <c r="Q199" s="5">
        <v>-15</v>
      </c>
      <c r="R199" t="s">
        <v>1132</v>
      </c>
      <c r="S199" t="s">
        <v>1133</v>
      </c>
      <c r="T199" t="s">
        <v>1134</v>
      </c>
      <c r="U199" t="s">
        <v>1135</v>
      </c>
      <c r="V199" s="2">
        <v>44743</v>
      </c>
      <c r="W199" t="s">
        <v>10</v>
      </c>
    </row>
    <row r="200" spans="1:23" ht="14.1" customHeight="1" outlineLevel="2" x14ac:dyDescent="0.25">
      <c r="A200" t="str">
        <f t="shared" si="3"/>
        <v>9990004620DIAGEO BRASIL LTDA11927</v>
      </c>
      <c r="B200" t="s">
        <v>2135</v>
      </c>
      <c r="C200">
        <v>9990004620</v>
      </c>
      <c r="D200" s="2">
        <v>44722</v>
      </c>
      <c r="E200" t="s">
        <v>0</v>
      </c>
      <c r="F200" t="s">
        <v>1</v>
      </c>
      <c r="G200" t="s">
        <v>1136</v>
      </c>
      <c r="H200" t="s">
        <v>166</v>
      </c>
      <c r="J200" s="3" t="s">
        <v>4</v>
      </c>
      <c r="K200" s="2">
        <v>44752</v>
      </c>
      <c r="L200" s="4">
        <v>11927</v>
      </c>
      <c r="M200" t="s">
        <v>5</v>
      </c>
      <c r="N200" s="4">
        <v>11927</v>
      </c>
      <c r="O200" t="s">
        <v>1137</v>
      </c>
      <c r="P200" s="4">
        <v>10823.75</v>
      </c>
      <c r="Q200" s="5">
        <v>-10</v>
      </c>
      <c r="R200" t="s">
        <v>1138</v>
      </c>
      <c r="S200" t="s">
        <v>1139</v>
      </c>
      <c r="T200" t="s">
        <v>1140</v>
      </c>
      <c r="U200" t="s">
        <v>1141</v>
      </c>
      <c r="V200" s="2">
        <v>44743</v>
      </c>
      <c r="W200" t="s">
        <v>10</v>
      </c>
    </row>
    <row r="201" spans="1:23" ht="14.1" customHeight="1" outlineLevel="2" x14ac:dyDescent="0.25">
      <c r="A201" t="str">
        <f t="shared" si="3"/>
        <v>9990004620DIAGEO BRASIL LTDA460986,6</v>
      </c>
      <c r="B201" t="s">
        <v>2136</v>
      </c>
      <c r="C201">
        <v>9990004620</v>
      </c>
      <c r="D201" s="2">
        <v>44722</v>
      </c>
      <c r="E201" t="s">
        <v>0</v>
      </c>
      <c r="F201" t="s">
        <v>1</v>
      </c>
      <c r="G201" t="s">
        <v>1142</v>
      </c>
      <c r="H201" t="s">
        <v>166</v>
      </c>
      <c r="J201" s="3" t="s">
        <v>4</v>
      </c>
      <c r="K201" s="2">
        <v>44752</v>
      </c>
      <c r="L201" s="4">
        <v>460986.6</v>
      </c>
      <c r="M201" t="s">
        <v>5</v>
      </c>
      <c r="N201" s="4">
        <v>460986.6</v>
      </c>
      <c r="O201" t="s">
        <v>1143</v>
      </c>
      <c r="P201" s="4">
        <v>418345.34</v>
      </c>
      <c r="Q201" s="5">
        <v>-10</v>
      </c>
      <c r="R201" t="s">
        <v>1144</v>
      </c>
      <c r="S201" t="s">
        <v>1145</v>
      </c>
      <c r="T201" t="s">
        <v>1146</v>
      </c>
      <c r="U201" t="s">
        <v>1147</v>
      </c>
      <c r="V201" s="2">
        <v>44743</v>
      </c>
      <c r="W201" t="s">
        <v>10</v>
      </c>
    </row>
    <row r="202" spans="1:23" ht="14.1" customHeight="1" outlineLevel="2" x14ac:dyDescent="0.25">
      <c r="A202" t="str">
        <f t="shared" si="3"/>
        <v>9990004711LOREAL BRASIL COMERCIAL DE COSMETIC22169,67</v>
      </c>
      <c r="B202" t="s">
        <v>2137</v>
      </c>
      <c r="C202">
        <v>9990004711</v>
      </c>
      <c r="D202" s="2">
        <v>44722</v>
      </c>
      <c r="E202" t="s">
        <v>0</v>
      </c>
      <c r="F202" t="s">
        <v>1</v>
      </c>
      <c r="G202" t="s">
        <v>1148</v>
      </c>
      <c r="H202" t="s">
        <v>208</v>
      </c>
      <c r="J202" s="3" t="s">
        <v>4</v>
      </c>
      <c r="K202" s="2">
        <v>44752</v>
      </c>
      <c r="L202" s="4">
        <v>22169.67</v>
      </c>
      <c r="M202" t="s">
        <v>5</v>
      </c>
      <c r="N202" s="4">
        <v>22169.67</v>
      </c>
      <c r="O202" t="s">
        <v>1149</v>
      </c>
      <c r="P202" s="4">
        <v>20118.96</v>
      </c>
      <c r="Q202" s="5">
        <v>-10</v>
      </c>
      <c r="R202" t="s">
        <v>1150</v>
      </c>
      <c r="S202" t="s">
        <v>1151</v>
      </c>
      <c r="T202" t="s">
        <v>4</v>
      </c>
      <c r="U202" t="s">
        <v>1152</v>
      </c>
      <c r="V202" s="2">
        <v>44743</v>
      </c>
      <c r="W202" t="s">
        <v>10</v>
      </c>
    </row>
    <row r="203" spans="1:23" ht="14.1" customHeight="1" outlineLevel="2" x14ac:dyDescent="0.25">
      <c r="A203" t="str">
        <f t="shared" si="3"/>
        <v>9990004711LOREAL BRASIL COMERCIAL DE COSMETIC120436</v>
      </c>
      <c r="B203" t="s">
        <v>2138</v>
      </c>
      <c r="C203">
        <v>9990004711</v>
      </c>
      <c r="D203" s="2">
        <v>44722</v>
      </c>
      <c r="E203" t="s">
        <v>0</v>
      </c>
      <c r="F203" t="s">
        <v>1</v>
      </c>
      <c r="G203" t="s">
        <v>1153</v>
      </c>
      <c r="H203" t="s">
        <v>208</v>
      </c>
      <c r="J203" s="3" t="s">
        <v>4</v>
      </c>
      <c r="K203" s="2">
        <v>44752</v>
      </c>
      <c r="L203" s="4">
        <v>120436</v>
      </c>
      <c r="M203" t="s">
        <v>5</v>
      </c>
      <c r="N203" s="4">
        <v>120436</v>
      </c>
      <c r="O203" t="s">
        <v>1154</v>
      </c>
      <c r="P203" s="4">
        <v>109295.67</v>
      </c>
      <c r="Q203" s="5">
        <v>-10</v>
      </c>
      <c r="R203" t="s">
        <v>1155</v>
      </c>
      <c r="S203" t="s">
        <v>1156</v>
      </c>
      <c r="T203" t="s">
        <v>4</v>
      </c>
      <c r="U203" t="s">
        <v>1157</v>
      </c>
      <c r="V203" s="2">
        <v>44743</v>
      </c>
      <c r="W203" t="s">
        <v>10</v>
      </c>
    </row>
    <row r="204" spans="1:23" ht="14.1" customHeight="1" outlineLevel="2" x14ac:dyDescent="0.25">
      <c r="A204" t="str">
        <f t="shared" si="3"/>
        <v>9990004711LOREAL BRASIL COMERCIAL DE COSMETIC36553,36</v>
      </c>
      <c r="B204" t="s">
        <v>2139</v>
      </c>
      <c r="C204">
        <v>9990004711</v>
      </c>
      <c r="D204" s="2">
        <v>44722</v>
      </c>
      <c r="E204" t="s">
        <v>0</v>
      </c>
      <c r="F204" t="s">
        <v>1</v>
      </c>
      <c r="G204" t="s">
        <v>1158</v>
      </c>
      <c r="H204" t="s">
        <v>208</v>
      </c>
      <c r="J204" s="3" t="s">
        <v>4</v>
      </c>
      <c r="K204" s="2">
        <v>44752</v>
      </c>
      <c r="L204" s="4">
        <v>36553.360000000001</v>
      </c>
      <c r="M204" t="s">
        <v>5</v>
      </c>
      <c r="N204" s="4">
        <v>36553.360000000001</v>
      </c>
      <c r="O204" t="s">
        <v>1159</v>
      </c>
      <c r="P204" s="4">
        <v>33172.19</v>
      </c>
      <c r="Q204" s="5">
        <v>-10</v>
      </c>
      <c r="R204" t="s">
        <v>1160</v>
      </c>
      <c r="S204" t="s">
        <v>1161</v>
      </c>
      <c r="T204" t="s">
        <v>223</v>
      </c>
      <c r="U204" t="s">
        <v>1162</v>
      </c>
      <c r="V204" s="2">
        <v>44743</v>
      </c>
      <c r="W204" t="s">
        <v>10</v>
      </c>
    </row>
    <row r="205" spans="1:23" ht="14.1" customHeight="1" outlineLevel="2" x14ac:dyDescent="0.25">
      <c r="A205" t="str">
        <f t="shared" si="3"/>
        <v>9990004711LOREAL BRASIL COMERCIAL DE COSMETIC45740,08</v>
      </c>
      <c r="B205" t="s">
        <v>2140</v>
      </c>
      <c r="C205">
        <v>9990004711</v>
      </c>
      <c r="D205" s="2">
        <v>44722</v>
      </c>
      <c r="E205" t="s">
        <v>0</v>
      </c>
      <c r="F205" t="s">
        <v>1</v>
      </c>
      <c r="G205" t="s">
        <v>1163</v>
      </c>
      <c r="H205" t="s">
        <v>208</v>
      </c>
      <c r="J205" s="3" t="s">
        <v>4</v>
      </c>
      <c r="K205" s="2">
        <v>44752</v>
      </c>
      <c r="L205" s="4">
        <v>45740.08</v>
      </c>
      <c r="M205" t="s">
        <v>5</v>
      </c>
      <c r="N205" s="4">
        <v>45740.08</v>
      </c>
      <c r="O205" t="s">
        <v>1164</v>
      </c>
      <c r="P205" s="4">
        <v>41509.120000000003</v>
      </c>
      <c r="Q205" s="5">
        <v>-10</v>
      </c>
      <c r="R205" t="s">
        <v>1165</v>
      </c>
      <c r="S205" t="s">
        <v>1166</v>
      </c>
      <c r="T205" t="s">
        <v>4</v>
      </c>
      <c r="U205" t="s">
        <v>1167</v>
      </c>
      <c r="V205" s="2">
        <v>44743</v>
      </c>
      <c r="W205" t="s">
        <v>10</v>
      </c>
    </row>
    <row r="206" spans="1:23" ht="14.1" customHeight="1" outlineLevel="2" x14ac:dyDescent="0.25">
      <c r="A206" t="str">
        <f t="shared" si="3"/>
        <v>9990004711LOREAL BRASIL COMERCIAL DE COSMETIC6283,64</v>
      </c>
      <c r="B206" t="s">
        <v>2141</v>
      </c>
      <c r="C206">
        <v>9990004711</v>
      </c>
      <c r="D206" s="2">
        <v>44722</v>
      </c>
      <c r="E206" t="s">
        <v>0</v>
      </c>
      <c r="F206" t="s">
        <v>1</v>
      </c>
      <c r="G206" t="s">
        <v>1168</v>
      </c>
      <c r="H206" t="s">
        <v>208</v>
      </c>
      <c r="J206" s="3" t="s">
        <v>4</v>
      </c>
      <c r="K206" s="2">
        <v>44752</v>
      </c>
      <c r="L206" s="4">
        <v>6283.64</v>
      </c>
      <c r="M206" t="s">
        <v>5</v>
      </c>
      <c r="N206" s="4">
        <v>6283.64</v>
      </c>
      <c r="O206" t="s">
        <v>1169</v>
      </c>
      <c r="P206" s="4">
        <v>5702.4</v>
      </c>
      <c r="Q206" s="5">
        <v>-10</v>
      </c>
      <c r="R206" t="s">
        <v>1170</v>
      </c>
      <c r="S206" t="s">
        <v>1171</v>
      </c>
      <c r="T206" t="s">
        <v>4</v>
      </c>
      <c r="U206" t="s">
        <v>1172</v>
      </c>
      <c r="V206" s="2">
        <v>44743</v>
      </c>
      <c r="W206" t="s">
        <v>10</v>
      </c>
    </row>
    <row r="207" spans="1:23" ht="14.1" customHeight="1" outlineLevel="2" x14ac:dyDescent="0.25">
      <c r="A207" t="str">
        <f t="shared" si="3"/>
        <v>9990004711LOREAL BRASIL COMERCIAL DE COSMETIC19606</v>
      </c>
      <c r="B207" t="s">
        <v>2142</v>
      </c>
      <c r="C207">
        <v>9990004711</v>
      </c>
      <c r="D207" s="2">
        <v>44722</v>
      </c>
      <c r="E207" t="s">
        <v>0</v>
      </c>
      <c r="F207" t="s">
        <v>1</v>
      </c>
      <c r="G207" t="s">
        <v>1173</v>
      </c>
      <c r="H207" t="s">
        <v>208</v>
      </c>
      <c r="J207" s="3" t="s">
        <v>4</v>
      </c>
      <c r="K207" s="2">
        <v>44752</v>
      </c>
      <c r="L207" s="4">
        <v>19606</v>
      </c>
      <c r="M207" t="s">
        <v>5</v>
      </c>
      <c r="N207" s="4">
        <v>19606</v>
      </c>
      <c r="O207" t="s">
        <v>1174</v>
      </c>
      <c r="P207" s="4">
        <v>17792.439999999999</v>
      </c>
      <c r="Q207" s="5">
        <v>-10</v>
      </c>
      <c r="R207" t="s">
        <v>1175</v>
      </c>
      <c r="S207" t="s">
        <v>1176</v>
      </c>
      <c r="T207" t="s">
        <v>4</v>
      </c>
      <c r="U207" t="s">
        <v>1177</v>
      </c>
      <c r="V207" s="2">
        <v>44743</v>
      </c>
      <c r="W207" t="s">
        <v>10</v>
      </c>
    </row>
    <row r="208" spans="1:23" ht="14.1" customHeight="1" outlineLevel="2" x14ac:dyDescent="0.25">
      <c r="A208" t="str">
        <f t="shared" si="3"/>
        <v>9990004711LOREAL BRASIL COMERCIAL DE COSMETIC36329</v>
      </c>
      <c r="B208" t="s">
        <v>2143</v>
      </c>
      <c r="C208">
        <v>9990004711</v>
      </c>
      <c r="D208" s="2">
        <v>44722</v>
      </c>
      <c r="E208" t="s">
        <v>0</v>
      </c>
      <c r="F208" t="s">
        <v>1</v>
      </c>
      <c r="G208" t="s">
        <v>1178</v>
      </c>
      <c r="H208" t="s">
        <v>208</v>
      </c>
      <c r="J208" s="3" t="s">
        <v>4</v>
      </c>
      <c r="K208" s="2">
        <v>44752</v>
      </c>
      <c r="L208" s="4">
        <v>36329</v>
      </c>
      <c r="M208" t="s">
        <v>5</v>
      </c>
      <c r="N208" s="4">
        <v>36329</v>
      </c>
      <c r="O208" t="s">
        <v>1179</v>
      </c>
      <c r="P208" s="4">
        <v>32968.57</v>
      </c>
      <c r="Q208" s="5">
        <v>-10</v>
      </c>
      <c r="R208" t="s">
        <v>1180</v>
      </c>
      <c r="S208" t="s">
        <v>1181</v>
      </c>
      <c r="T208" t="s">
        <v>4</v>
      </c>
      <c r="U208" t="s">
        <v>1182</v>
      </c>
      <c r="V208" s="2">
        <v>44743</v>
      </c>
      <c r="W208" t="s">
        <v>10</v>
      </c>
    </row>
    <row r="209" spans="1:23" ht="14.1" customHeight="1" outlineLevel="2" x14ac:dyDescent="0.25">
      <c r="A209" t="str">
        <f t="shared" si="3"/>
        <v>9990004711LOREAL BRASIL COMERCIAL DE COSMETIC18570,36</v>
      </c>
      <c r="B209" t="s">
        <v>2144</v>
      </c>
      <c r="C209">
        <v>9990004711</v>
      </c>
      <c r="D209" s="2">
        <v>44722</v>
      </c>
      <c r="E209" t="s">
        <v>0</v>
      </c>
      <c r="F209" t="s">
        <v>1</v>
      </c>
      <c r="G209" t="s">
        <v>1183</v>
      </c>
      <c r="H209" t="s">
        <v>208</v>
      </c>
      <c r="J209" s="3" t="s">
        <v>4</v>
      </c>
      <c r="K209" s="2">
        <v>44752</v>
      </c>
      <c r="L209" s="4">
        <v>18570.36</v>
      </c>
      <c r="M209" t="s">
        <v>5</v>
      </c>
      <c r="N209" s="4">
        <v>18570.36</v>
      </c>
      <c r="O209" t="s">
        <v>1184</v>
      </c>
      <c r="P209" s="4">
        <v>16852.599999999999</v>
      </c>
      <c r="Q209" s="5">
        <v>-10</v>
      </c>
      <c r="R209" t="s">
        <v>1185</v>
      </c>
      <c r="S209" t="s">
        <v>1186</v>
      </c>
      <c r="T209" t="s">
        <v>4</v>
      </c>
      <c r="U209" t="s">
        <v>1187</v>
      </c>
      <c r="V209" s="2">
        <v>44743</v>
      </c>
      <c r="W209" t="s">
        <v>10</v>
      </c>
    </row>
    <row r="210" spans="1:23" ht="14.1" customHeight="1" outlineLevel="2" x14ac:dyDescent="0.25">
      <c r="A210" t="str">
        <f t="shared" si="3"/>
        <v>9990004711LOREAL BRASIL COMERCIAL DE COSMETIC39610,46</v>
      </c>
      <c r="B210" t="s">
        <v>2145</v>
      </c>
      <c r="C210">
        <v>9990004711</v>
      </c>
      <c r="D210" s="2">
        <v>44722</v>
      </c>
      <c r="E210" t="s">
        <v>0</v>
      </c>
      <c r="F210" t="s">
        <v>1</v>
      </c>
      <c r="G210" t="s">
        <v>1188</v>
      </c>
      <c r="H210" t="s">
        <v>208</v>
      </c>
      <c r="J210" s="3" t="s">
        <v>4</v>
      </c>
      <c r="K210" s="2">
        <v>44752</v>
      </c>
      <c r="L210" s="4">
        <v>39610.46</v>
      </c>
      <c r="M210" t="s">
        <v>5</v>
      </c>
      <c r="N210" s="4">
        <v>39610.46</v>
      </c>
      <c r="O210" t="s">
        <v>1189</v>
      </c>
      <c r="P210" s="4">
        <v>35946.49</v>
      </c>
      <c r="Q210" s="5">
        <v>-10</v>
      </c>
      <c r="R210" t="s">
        <v>1190</v>
      </c>
      <c r="S210" t="s">
        <v>1191</v>
      </c>
      <c r="T210" t="s">
        <v>4</v>
      </c>
      <c r="U210" t="s">
        <v>1192</v>
      </c>
      <c r="V210" s="2">
        <v>44743</v>
      </c>
      <c r="W210" t="s">
        <v>10</v>
      </c>
    </row>
    <row r="211" spans="1:23" ht="14.1" customHeight="1" outlineLevel="2" x14ac:dyDescent="0.25">
      <c r="A211" t="str">
        <f t="shared" si="3"/>
        <v>9990004711LOREAL BRASIL COMERCIAL DE COSMETIC38522,09</v>
      </c>
      <c r="B211" t="s">
        <v>2146</v>
      </c>
      <c r="C211">
        <v>9990004711</v>
      </c>
      <c r="D211" s="2">
        <v>44722</v>
      </c>
      <c r="E211" t="s">
        <v>0</v>
      </c>
      <c r="F211" t="s">
        <v>1</v>
      </c>
      <c r="G211" t="s">
        <v>1193</v>
      </c>
      <c r="H211" t="s">
        <v>208</v>
      </c>
      <c r="J211" s="3" t="s">
        <v>4</v>
      </c>
      <c r="K211" s="2">
        <v>44752</v>
      </c>
      <c r="L211" s="4">
        <v>38522.089999999997</v>
      </c>
      <c r="M211" t="s">
        <v>5</v>
      </c>
      <c r="N211" s="4">
        <v>38522.089999999997</v>
      </c>
      <c r="O211" t="s">
        <v>1194</v>
      </c>
      <c r="P211" s="4">
        <v>34958.800000000003</v>
      </c>
      <c r="Q211" s="5">
        <v>-10</v>
      </c>
      <c r="R211" t="s">
        <v>1195</v>
      </c>
      <c r="S211" t="s">
        <v>1196</v>
      </c>
      <c r="T211" t="s">
        <v>4</v>
      </c>
      <c r="U211" t="s">
        <v>1197</v>
      </c>
      <c r="V211" s="2">
        <v>44743</v>
      </c>
      <c r="W211" t="s">
        <v>10</v>
      </c>
    </row>
    <row r="212" spans="1:23" ht="14.1" customHeight="1" outlineLevel="2" x14ac:dyDescent="0.25">
      <c r="A212" t="str">
        <f t="shared" si="3"/>
        <v>9990004711LOREAL BRASIL COMERCIAL DE COSMETIC76262,4</v>
      </c>
      <c r="B212" t="s">
        <v>2147</v>
      </c>
      <c r="C212">
        <v>9990004711</v>
      </c>
      <c r="D212" s="2">
        <v>44722</v>
      </c>
      <c r="E212" t="s">
        <v>0</v>
      </c>
      <c r="F212" t="s">
        <v>1</v>
      </c>
      <c r="G212" t="s">
        <v>1198</v>
      </c>
      <c r="H212" t="s">
        <v>208</v>
      </c>
      <c r="J212" s="3" t="s">
        <v>4</v>
      </c>
      <c r="K212" s="2">
        <v>44752</v>
      </c>
      <c r="L212" s="4">
        <v>76262.399999999994</v>
      </c>
      <c r="M212" t="s">
        <v>5</v>
      </c>
      <c r="N212" s="4">
        <v>76262.399999999994</v>
      </c>
      <c r="O212" t="s">
        <v>1199</v>
      </c>
      <c r="P212" s="4">
        <v>69208.13</v>
      </c>
      <c r="Q212" s="5">
        <v>-10</v>
      </c>
      <c r="R212" t="s">
        <v>1200</v>
      </c>
      <c r="S212" t="s">
        <v>1201</v>
      </c>
      <c r="T212" t="s">
        <v>4</v>
      </c>
      <c r="U212" t="s">
        <v>1202</v>
      </c>
      <c r="V212" s="2">
        <v>44743</v>
      </c>
      <c r="W212" t="s">
        <v>10</v>
      </c>
    </row>
    <row r="213" spans="1:23" ht="14.1" customHeight="1" outlineLevel="2" x14ac:dyDescent="0.25">
      <c r="A213" t="str">
        <f t="shared" si="3"/>
        <v>9990004711LOREAL BRASIL COMERCIAL DE COSMETIC10892,88</v>
      </c>
      <c r="B213" t="s">
        <v>2148</v>
      </c>
      <c r="C213">
        <v>9990004711</v>
      </c>
      <c r="D213" s="2">
        <v>44722</v>
      </c>
      <c r="E213" t="s">
        <v>0</v>
      </c>
      <c r="F213" t="s">
        <v>1</v>
      </c>
      <c r="G213" t="s">
        <v>1203</v>
      </c>
      <c r="H213" t="s">
        <v>208</v>
      </c>
      <c r="J213" s="3" t="s">
        <v>4</v>
      </c>
      <c r="K213" s="2">
        <v>44752</v>
      </c>
      <c r="L213" s="4">
        <v>10892.88</v>
      </c>
      <c r="M213" t="s">
        <v>5</v>
      </c>
      <c r="N213" s="4">
        <v>10892.88</v>
      </c>
      <c r="O213" t="s">
        <v>1204</v>
      </c>
      <c r="P213" s="4">
        <v>9885.2999999999993</v>
      </c>
      <c r="Q213" s="5">
        <v>-10</v>
      </c>
      <c r="R213" t="s">
        <v>1205</v>
      </c>
      <c r="S213" t="s">
        <v>1206</v>
      </c>
      <c r="T213" t="s">
        <v>4</v>
      </c>
      <c r="U213" t="s">
        <v>1207</v>
      </c>
      <c r="V213" s="2">
        <v>44743</v>
      </c>
      <c r="W213" t="s">
        <v>10</v>
      </c>
    </row>
    <row r="214" spans="1:23" ht="14.1" customHeight="1" outlineLevel="2" x14ac:dyDescent="0.25">
      <c r="A214" t="str">
        <f t="shared" si="3"/>
        <v>9990004711LOREAL BRASIL COMERCIAL DE COSMETIC69532,33</v>
      </c>
      <c r="B214" t="s">
        <v>2149</v>
      </c>
      <c r="C214">
        <v>9990004711</v>
      </c>
      <c r="D214" s="2">
        <v>44722</v>
      </c>
      <c r="E214" t="s">
        <v>0</v>
      </c>
      <c r="F214" t="s">
        <v>1</v>
      </c>
      <c r="G214" t="s">
        <v>1208</v>
      </c>
      <c r="H214" t="s">
        <v>208</v>
      </c>
      <c r="J214" s="3" t="s">
        <v>4</v>
      </c>
      <c r="K214" s="2">
        <v>44752</v>
      </c>
      <c r="L214" s="4">
        <v>69532.33</v>
      </c>
      <c r="M214" t="s">
        <v>5</v>
      </c>
      <c r="N214" s="4">
        <v>69532.33</v>
      </c>
      <c r="O214" t="s">
        <v>1209</v>
      </c>
      <c r="P214" s="4">
        <v>63100.6</v>
      </c>
      <c r="Q214" s="5">
        <v>-10</v>
      </c>
      <c r="R214" t="s">
        <v>1210</v>
      </c>
      <c r="S214" t="s">
        <v>1211</v>
      </c>
      <c r="T214" t="s">
        <v>223</v>
      </c>
      <c r="U214" t="s">
        <v>1212</v>
      </c>
      <c r="V214" s="2">
        <v>44743</v>
      </c>
      <c r="W214" t="s">
        <v>10</v>
      </c>
    </row>
    <row r="215" spans="1:23" ht="14.1" customHeight="1" outlineLevel="2" x14ac:dyDescent="0.25">
      <c r="A215" t="str">
        <f t="shared" si="3"/>
        <v>9990004711LOREAL BRASIL COMERCIAL DE COSMETIC5153,79</v>
      </c>
      <c r="B215" t="s">
        <v>2150</v>
      </c>
      <c r="C215">
        <v>9990004711</v>
      </c>
      <c r="D215" s="2">
        <v>44722</v>
      </c>
      <c r="E215" t="s">
        <v>0</v>
      </c>
      <c r="F215" t="s">
        <v>1</v>
      </c>
      <c r="G215" t="s">
        <v>1213</v>
      </c>
      <c r="H215" t="s">
        <v>208</v>
      </c>
      <c r="J215" s="3" t="s">
        <v>4</v>
      </c>
      <c r="K215" s="2">
        <v>44752</v>
      </c>
      <c r="L215" s="4">
        <v>5153.79</v>
      </c>
      <c r="M215" t="s">
        <v>5</v>
      </c>
      <c r="N215" s="4">
        <v>5153.79</v>
      </c>
      <c r="O215" t="s">
        <v>1214</v>
      </c>
      <c r="P215" s="4">
        <v>4677.07</v>
      </c>
      <c r="Q215" s="5">
        <v>-10</v>
      </c>
      <c r="R215" t="s">
        <v>1215</v>
      </c>
      <c r="S215" t="s">
        <v>1216</v>
      </c>
      <c r="T215" t="s">
        <v>223</v>
      </c>
      <c r="U215" t="s">
        <v>1217</v>
      </c>
      <c r="V215" s="2">
        <v>44743</v>
      </c>
      <c r="W215" t="s">
        <v>10</v>
      </c>
    </row>
    <row r="216" spans="1:23" ht="14.1" customHeight="1" outlineLevel="2" x14ac:dyDescent="0.25">
      <c r="A216" t="str">
        <f t="shared" si="3"/>
        <v>9990004711LOREAL BRASIL COMERCIAL DE COSMETIC22345,04</v>
      </c>
      <c r="B216" t="s">
        <v>2151</v>
      </c>
      <c r="C216">
        <v>9990004711</v>
      </c>
      <c r="D216" s="2">
        <v>44722</v>
      </c>
      <c r="E216" t="s">
        <v>0</v>
      </c>
      <c r="F216" t="s">
        <v>1</v>
      </c>
      <c r="G216" t="s">
        <v>1218</v>
      </c>
      <c r="H216" t="s">
        <v>208</v>
      </c>
      <c r="J216" s="3" t="s">
        <v>4</v>
      </c>
      <c r="K216" s="2">
        <v>44752</v>
      </c>
      <c r="L216" s="4">
        <v>22345.040000000001</v>
      </c>
      <c r="M216" t="s">
        <v>5</v>
      </c>
      <c r="N216" s="4">
        <v>22345.040000000001</v>
      </c>
      <c r="O216" t="s">
        <v>1219</v>
      </c>
      <c r="P216" s="4">
        <v>20278.12</v>
      </c>
      <c r="Q216" s="5">
        <v>-10</v>
      </c>
      <c r="R216" t="s">
        <v>1220</v>
      </c>
      <c r="S216" t="s">
        <v>1221</v>
      </c>
      <c r="T216" t="s">
        <v>4</v>
      </c>
      <c r="U216" t="s">
        <v>1222</v>
      </c>
      <c r="V216" s="2">
        <v>44743</v>
      </c>
      <c r="W216" t="s">
        <v>10</v>
      </c>
    </row>
    <row r="217" spans="1:23" ht="14.1" customHeight="1" outlineLevel="2" x14ac:dyDescent="0.25">
      <c r="A217" t="str">
        <f t="shared" si="3"/>
        <v>9990004711LOREAL BRASIL COMERCIAL DE COSMETIC1507</v>
      </c>
      <c r="B217" t="s">
        <v>2152</v>
      </c>
      <c r="C217">
        <v>9990004711</v>
      </c>
      <c r="D217" s="2">
        <v>44722</v>
      </c>
      <c r="E217" t="s">
        <v>0</v>
      </c>
      <c r="F217" t="s">
        <v>1</v>
      </c>
      <c r="G217" t="s">
        <v>1223</v>
      </c>
      <c r="H217" t="s">
        <v>208</v>
      </c>
      <c r="J217" s="3" t="s">
        <v>4</v>
      </c>
      <c r="K217" s="2">
        <v>44752</v>
      </c>
      <c r="L217" s="4">
        <v>1507</v>
      </c>
      <c r="M217" t="s">
        <v>5</v>
      </c>
      <c r="N217" s="4">
        <v>1507</v>
      </c>
      <c r="O217" t="s">
        <v>1224</v>
      </c>
      <c r="P217" s="4">
        <v>1367.6</v>
      </c>
      <c r="Q217" s="5">
        <v>-10</v>
      </c>
      <c r="R217" t="s">
        <v>1225</v>
      </c>
      <c r="S217" t="s">
        <v>1226</v>
      </c>
      <c r="T217" t="s">
        <v>4</v>
      </c>
      <c r="U217" t="s">
        <v>1227</v>
      </c>
      <c r="V217" s="2">
        <v>44743</v>
      </c>
      <c r="W217" t="s">
        <v>10</v>
      </c>
    </row>
    <row r="218" spans="1:23" ht="14.1" customHeight="1" outlineLevel="2" x14ac:dyDescent="0.25">
      <c r="A218" t="str">
        <f t="shared" si="3"/>
        <v>9990004711LOREAL BRASIL COMERCIAL DE COSMETIC78000</v>
      </c>
      <c r="B218" t="s">
        <v>2153</v>
      </c>
      <c r="C218">
        <v>9990004711</v>
      </c>
      <c r="D218" s="2">
        <v>44722</v>
      </c>
      <c r="E218" t="s">
        <v>0</v>
      </c>
      <c r="F218" t="s">
        <v>1</v>
      </c>
      <c r="G218" t="s">
        <v>1228</v>
      </c>
      <c r="H218" t="s">
        <v>208</v>
      </c>
      <c r="J218" s="3" t="s">
        <v>4</v>
      </c>
      <c r="K218" s="2">
        <v>44752</v>
      </c>
      <c r="L218" s="4">
        <v>78000</v>
      </c>
      <c r="M218" t="s">
        <v>5</v>
      </c>
      <c r="N218" s="4">
        <v>78000</v>
      </c>
      <c r="O218" t="s">
        <v>1229</v>
      </c>
      <c r="P218" s="4">
        <v>70785</v>
      </c>
      <c r="Q218" s="5">
        <v>-10</v>
      </c>
      <c r="R218" t="s">
        <v>1230</v>
      </c>
      <c r="S218" t="s">
        <v>1231</v>
      </c>
      <c r="T218" t="s">
        <v>4</v>
      </c>
      <c r="U218" t="s">
        <v>1232</v>
      </c>
      <c r="V218" s="2">
        <v>44743</v>
      </c>
      <c r="W218" t="s">
        <v>10</v>
      </c>
    </row>
    <row r="219" spans="1:23" ht="14.1" customHeight="1" outlineLevel="2" x14ac:dyDescent="0.25">
      <c r="A219" t="str">
        <f t="shared" si="3"/>
        <v>9990004711LOREAL BRASIL COMERCIAL DE COSMETIC23357,86</v>
      </c>
      <c r="B219" t="s">
        <v>2154</v>
      </c>
      <c r="C219">
        <v>9990004711</v>
      </c>
      <c r="D219" s="2">
        <v>44722</v>
      </c>
      <c r="E219" t="s">
        <v>0</v>
      </c>
      <c r="F219" t="s">
        <v>1</v>
      </c>
      <c r="G219" t="s">
        <v>1233</v>
      </c>
      <c r="H219" t="s">
        <v>208</v>
      </c>
      <c r="J219" s="3" t="s">
        <v>4</v>
      </c>
      <c r="K219" s="2">
        <v>44752</v>
      </c>
      <c r="L219" s="4">
        <v>23357.86</v>
      </c>
      <c r="M219" t="s">
        <v>5</v>
      </c>
      <c r="N219" s="4">
        <v>23357.86</v>
      </c>
      <c r="O219" t="s">
        <v>1234</v>
      </c>
      <c r="P219" s="4">
        <v>21197.25</v>
      </c>
      <c r="Q219" s="5">
        <v>-10</v>
      </c>
      <c r="R219" t="s">
        <v>1235</v>
      </c>
      <c r="S219" t="s">
        <v>1236</v>
      </c>
      <c r="T219" t="s">
        <v>4</v>
      </c>
      <c r="U219" t="s">
        <v>1237</v>
      </c>
      <c r="V219" s="2">
        <v>44743</v>
      </c>
      <c r="W219" t="s">
        <v>10</v>
      </c>
    </row>
    <row r="220" spans="1:23" ht="14.1" customHeight="1" outlineLevel="2" x14ac:dyDescent="0.25">
      <c r="A220" t="str">
        <f t="shared" si="3"/>
        <v>9990004711LOREAL BRASIL COMERCIAL DE COSMETIC33701,82</v>
      </c>
      <c r="B220" t="s">
        <v>2155</v>
      </c>
      <c r="C220">
        <v>9990004711</v>
      </c>
      <c r="D220" s="2">
        <v>44722</v>
      </c>
      <c r="E220" t="s">
        <v>0</v>
      </c>
      <c r="F220" t="s">
        <v>1</v>
      </c>
      <c r="G220" t="s">
        <v>1238</v>
      </c>
      <c r="H220" t="s">
        <v>208</v>
      </c>
      <c r="J220" s="3" t="s">
        <v>4</v>
      </c>
      <c r="K220" s="2">
        <v>44752</v>
      </c>
      <c r="L220" s="4">
        <v>33701.82</v>
      </c>
      <c r="M220" t="s">
        <v>5</v>
      </c>
      <c r="N220" s="4">
        <v>33701.82</v>
      </c>
      <c r="O220" t="s">
        <v>1239</v>
      </c>
      <c r="P220" s="4">
        <v>30584.400000000001</v>
      </c>
      <c r="Q220" s="5">
        <v>-10</v>
      </c>
      <c r="R220" t="s">
        <v>1240</v>
      </c>
      <c r="S220" t="s">
        <v>1241</v>
      </c>
      <c r="T220" t="s">
        <v>4</v>
      </c>
      <c r="U220" t="s">
        <v>1242</v>
      </c>
      <c r="V220" s="2">
        <v>44743</v>
      </c>
      <c r="W220" t="s">
        <v>10</v>
      </c>
    </row>
    <row r="221" spans="1:23" ht="14.1" customHeight="1" outlineLevel="2" x14ac:dyDescent="0.25">
      <c r="A221" t="str">
        <f t="shared" si="3"/>
        <v>9990004711LOREAL BRASIL COMERCIAL DE COSMETIC144189,23</v>
      </c>
      <c r="B221" t="s">
        <v>2156</v>
      </c>
      <c r="C221">
        <v>9990004711</v>
      </c>
      <c r="D221" s="2">
        <v>44722</v>
      </c>
      <c r="E221" t="s">
        <v>0</v>
      </c>
      <c r="F221" t="s">
        <v>1</v>
      </c>
      <c r="G221" t="s">
        <v>1243</v>
      </c>
      <c r="H221" t="s">
        <v>208</v>
      </c>
      <c r="J221" s="3" t="s">
        <v>4</v>
      </c>
      <c r="K221" s="2">
        <v>44752</v>
      </c>
      <c r="L221" s="4">
        <v>144189.23000000001</v>
      </c>
      <c r="M221" t="s">
        <v>5</v>
      </c>
      <c r="N221" s="4">
        <v>144189.23000000001</v>
      </c>
      <c r="O221" t="s">
        <v>1244</v>
      </c>
      <c r="P221" s="4">
        <v>130851.73</v>
      </c>
      <c r="Q221" s="5">
        <v>-10</v>
      </c>
      <c r="R221" t="s">
        <v>1245</v>
      </c>
      <c r="S221" t="s">
        <v>1246</v>
      </c>
      <c r="T221" t="s">
        <v>4</v>
      </c>
      <c r="U221" t="s">
        <v>1247</v>
      </c>
      <c r="V221" s="2">
        <v>44743</v>
      </c>
      <c r="W221" t="s">
        <v>10</v>
      </c>
    </row>
    <row r="222" spans="1:23" ht="14.1" customHeight="1" outlineLevel="2" x14ac:dyDescent="0.25">
      <c r="A222" t="str">
        <f t="shared" si="3"/>
        <v>9990004882ELEGANCIA DISTRIBUIDORA DE COSMETIC20000</v>
      </c>
      <c r="B222" t="s">
        <v>2157</v>
      </c>
      <c r="C222">
        <v>9990004882</v>
      </c>
      <c r="D222" s="2">
        <v>44630</v>
      </c>
      <c r="E222" t="s">
        <v>0</v>
      </c>
      <c r="F222" t="s">
        <v>1</v>
      </c>
      <c r="G222" t="s">
        <v>1248</v>
      </c>
      <c r="H222" t="s">
        <v>219</v>
      </c>
      <c r="J222" s="3" t="s">
        <v>4</v>
      </c>
      <c r="K222" s="2">
        <v>44771</v>
      </c>
      <c r="L222" s="4">
        <v>20000</v>
      </c>
      <c r="M222" t="s">
        <v>5</v>
      </c>
      <c r="N222" s="4">
        <v>20000</v>
      </c>
      <c r="O222" t="s">
        <v>1249</v>
      </c>
      <c r="P222" s="4">
        <v>18150</v>
      </c>
      <c r="Q222" s="5">
        <v>-29</v>
      </c>
      <c r="R222" t="s">
        <v>1250</v>
      </c>
      <c r="S222" t="s">
        <v>1251</v>
      </c>
      <c r="T222" t="s">
        <v>4</v>
      </c>
      <c r="U222" t="s">
        <v>1252</v>
      </c>
      <c r="V222" s="2">
        <v>44743</v>
      </c>
      <c r="W222" t="s">
        <v>10</v>
      </c>
    </row>
    <row r="223" spans="1:23" ht="14.1" customHeight="1" outlineLevel="2" x14ac:dyDescent="0.25">
      <c r="A223" t="str">
        <f t="shared" si="3"/>
        <v>9990004882ELEGANCIA DISTRIBUIDORA DE COSMETIC20000</v>
      </c>
      <c r="B223" t="s">
        <v>2157</v>
      </c>
      <c r="C223">
        <v>9990004882</v>
      </c>
      <c r="D223" s="2">
        <v>44722</v>
      </c>
      <c r="E223" t="s">
        <v>0</v>
      </c>
      <c r="F223" t="s">
        <v>1</v>
      </c>
      <c r="G223" t="s">
        <v>1253</v>
      </c>
      <c r="H223" t="s">
        <v>219</v>
      </c>
      <c r="J223" s="3" t="s">
        <v>4</v>
      </c>
      <c r="K223" s="2">
        <v>44752</v>
      </c>
      <c r="L223" s="4">
        <v>20000</v>
      </c>
      <c r="M223" t="s">
        <v>5</v>
      </c>
      <c r="N223" s="4">
        <v>20000</v>
      </c>
      <c r="O223" t="s">
        <v>1254</v>
      </c>
      <c r="P223" s="4">
        <v>18150</v>
      </c>
      <c r="Q223" s="5">
        <v>-10</v>
      </c>
      <c r="R223" t="s">
        <v>1255</v>
      </c>
      <c r="S223" t="s">
        <v>1256</v>
      </c>
      <c r="T223" t="s">
        <v>4</v>
      </c>
      <c r="U223" t="s">
        <v>1257</v>
      </c>
      <c r="V223" s="2">
        <v>44743</v>
      </c>
      <c r="W223" t="s">
        <v>10</v>
      </c>
    </row>
    <row r="224" spans="1:23" ht="14.1" customHeight="1" outlineLevel="2" x14ac:dyDescent="0.25">
      <c r="A224" t="str">
        <f t="shared" si="3"/>
        <v>9990004882ELEGANCIA DISTRIBUIDORA DE COSMETIC7500</v>
      </c>
      <c r="B224" t="s">
        <v>2158</v>
      </c>
      <c r="C224">
        <v>9990004882</v>
      </c>
      <c r="D224" s="2">
        <v>44722</v>
      </c>
      <c r="E224" t="s">
        <v>0</v>
      </c>
      <c r="F224" t="s">
        <v>1</v>
      </c>
      <c r="G224" t="s">
        <v>1258</v>
      </c>
      <c r="H224" t="s">
        <v>219</v>
      </c>
      <c r="J224" s="3" t="s">
        <v>4</v>
      </c>
      <c r="K224" s="2">
        <v>44752</v>
      </c>
      <c r="L224" s="4">
        <v>7500</v>
      </c>
      <c r="M224" t="s">
        <v>5</v>
      </c>
      <c r="N224" s="4">
        <v>7500</v>
      </c>
      <c r="O224" t="s">
        <v>1259</v>
      </c>
      <c r="P224" s="4">
        <v>6806.25</v>
      </c>
      <c r="Q224" s="5">
        <v>-10</v>
      </c>
      <c r="R224" t="s">
        <v>1260</v>
      </c>
      <c r="S224" t="s">
        <v>1261</v>
      </c>
      <c r="T224" t="s">
        <v>4</v>
      </c>
      <c r="U224" t="s">
        <v>1262</v>
      </c>
      <c r="V224" s="2">
        <v>44743</v>
      </c>
      <c r="W224" t="s">
        <v>10</v>
      </c>
    </row>
    <row r="225" spans="1:23" ht="14.1" customHeight="1" outlineLevel="2" x14ac:dyDescent="0.25">
      <c r="A225" t="str">
        <f t="shared" si="3"/>
        <v>9990004882ELEGANCIA DISTRIBUIDORA DE COSMETIC6634,51</v>
      </c>
      <c r="B225" t="s">
        <v>2159</v>
      </c>
      <c r="C225">
        <v>9990004882</v>
      </c>
      <c r="D225" s="2">
        <v>44602</v>
      </c>
      <c r="E225" t="s">
        <v>0</v>
      </c>
      <c r="F225" t="s">
        <v>1</v>
      </c>
      <c r="G225" t="s">
        <v>1263</v>
      </c>
      <c r="H225" t="s">
        <v>219</v>
      </c>
      <c r="J225" s="3" t="s">
        <v>4</v>
      </c>
      <c r="K225" s="2">
        <v>44771</v>
      </c>
      <c r="L225" s="4">
        <v>6634.51</v>
      </c>
      <c r="M225" t="s">
        <v>5</v>
      </c>
      <c r="N225" s="4">
        <v>6634.51</v>
      </c>
      <c r="O225" t="s">
        <v>1264</v>
      </c>
      <c r="P225" s="4">
        <v>6020.82</v>
      </c>
      <c r="Q225" s="5">
        <v>-29</v>
      </c>
      <c r="R225" t="s">
        <v>1265</v>
      </c>
      <c r="S225" t="s">
        <v>1266</v>
      </c>
      <c r="T225" t="s">
        <v>1267</v>
      </c>
      <c r="U225" t="s">
        <v>1268</v>
      </c>
      <c r="V225" s="2">
        <v>44743</v>
      </c>
      <c r="W225" t="s">
        <v>10</v>
      </c>
    </row>
    <row r="226" spans="1:23" ht="14.1" customHeight="1" outlineLevel="2" x14ac:dyDescent="0.25">
      <c r="A226" t="str">
        <f t="shared" si="3"/>
        <v>9990004882ELEGANCIA DISTRIBUIDORA DE COSMETIC35000</v>
      </c>
      <c r="B226" t="s">
        <v>2160</v>
      </c>
      <c r="C226">
        <v>9990004882</v>
      </c>
      <c r="D226" s="2">
        <v>44602</v>
      </c>
      <c r="E226" t="s">
        <v>0</v>
      </c>
      <c r="F226" t="s">
        <v>1</v>
      </c>
      <c r="G226" t="s">
        <v>1269</v>
      </c>
      <c r="H226" t="s">
        <v>219</v>
      </c>
      <c r="J226" s="3" t="s">
        <v>4</v>
      </c>
      <c r="K226" s="2">
        <v>44771</v>
      </c>
      <c r="L226" s="4">
        <v>35000</v>
      </c>
      <c r="M226" t="s">
        <v>5</v>
      </c>
      <c r="N226" s="4">
        <v>35000</v>
      </c>
      <c r="O226" t="s">
        <v>1270</v>
      </c>
      <c r="P226" s="4">
        <v>31762.5</v>
      </c>
      <c r="Q226" s="5">
        <v>-29</v>
      </c>
      <c r="R226" t="s">
        <v>1271</v>
      </c>
      <c r="S226" t="s">
        <v>1272</v>
      </c>
      <c r="T226" t="s">
        <v>1273</v>
      </c>
      <c r="U226" t="s">
        <v>1274</v>
      </c>
      <c r="V226" s="2">
        <v>44743</v>
      </c>
      <c r="W226" t="s">
        <v>10</v>
      </c>
    </row>
    <row r="227" spans="1:23" ht="14.1" customHeight="1" outlineLevel="2" x14ac:dyDescent="0.25">
      <c r="A227" t="str">
        <f t="shared" si="3"/>
        <v>9990004882ELEGANCIA DISTRIBUIDORA DE COSMETIC10000</v>
      </c>
      <c r="B227" t="s">
        <v>2161</v>
      </c>
      <c r="C227">
        <v>9990004882</v>
      </c>
      <c r="D227" s="2">
        <v>44630</v>
      </c>
      <c r="E227" t="s">
        <v>0</v>
      </c>
      <c r="F227" t="s">
        <v>1</v>
      </c>
      <c r="G227" t="s">
        <v>1275</v>
      </c>
      <c r="H227" t="s">
        <v>219</v>
      </c>
      <c r="J227" s="3" t="s">
        <v>4</v>
      </c>
      <c r="K227" s="2">
        <v>44771</v>
      </c>
      <c r="L227" s="4">
        <v>10000</v>
      </c>
      <c r="M227" t="s">
        <v>5</v>
      </c>
      <c r="N227" s="4">
        <v>10000</v>
      </c>
      <c r="O227" t="s">
        <v>1276</v>
      </c>
      <c r="P227" s="4">
        <v>9075</v>
      </c>
      <c r="Q227" s="5">
        <v>-29</v>
      </c>
      <c r="R227" t="s">
        <v>1277</v>
      </c>
      <c r="S227" t="s">
        <v>1278</v>
      </c>
      <c r="T227" t="s">
        <v>4</v>
      </c>
      <c r="U227" t="s">
        <v>1279</v>
      </c>
      <c r="V227" s="2">
        <v>44743</v>
      </c>
      <c r="W227" t="s">
        <v>10</v>
      </c>
    </row>
    <row r="228" spans="1:23" ht="14.1" customHeight="1" outlineLevel="2" x14ac:dyDescent="0.25">
      <c r="A228" t="str">
        <f t="shared" si="3"/>
        <v>9990004935BDB FERRAMENTAS DO BRASIL LTDA.567779,1</v>
      </c>
      <c r="B228" t="s">
        <v>2162</v>
      </c>
      <c r="C228">
        <v>9990004935</v>
      </c>
      <c r="D228" s="2">
        <v>44722</v>
      </c>
      <c r="E228" t="s">
        <v>0</v>
      </c>
      <c r="F228" t="s">
        <v>1</v>
      </c>
      <c r="G228" t="s">
        <v>1280</v>
      </c>
      <c r="H228" t="s">
        <v>1281</v>
      </c>
      <c r="J228" s="3" t="s">
        <v>4</v>
      </c>
      <c r="K228" s="2">
        <v>44782</v>
      </c>
      <c r="L228" s="4">
        <v>567779.1</v>
      </c>
      <c r="M228" t="s">
        <v>5</v>
      </c>
      <c r="N228" s="4">
        <v>567779.1</v>
      </c>
      <c r="O228" t="s">
        <v>1282</v>
      </c>
      <c r="P228" s="4">
        <v>515259.53</v>
      </c>
      <c r="Q228" s="5">
        <v>-40</v>
      </c>
      <c r="R228" t="s">
        <v>1283</v>
      </c>
      <c r="S228" t="s">
        <v>1284</v>
      </c>
      <c r="T228" t="s">
        <v>4</v>
      </c>
      <c r="U228" t="s">
        <v>1285</v>
      </c>
      <c r="V228" s="2">
        <v>44743</v>
      </c>
      <c r="W228" t="s">
        <v>10</v>
      </c>
    </row>
    <row r="229" spans="1:23" ht="14.1" customHeight="1" outlineLevel="2" x14ac:dyDescent="0.25">
      <c r="A229" t="str">
        <f t="shared" si="3"/>
        <v>9990004935BDB FERRAMENTAS DO BRASIL LTDA.50000</v>
      </c>
      <c r="B229" t="s">
        <v>2163</v>
      </c>
      <c r="C229">
        <v>9990004935</v>
      </c>
      <c r="D229" s="2">
        <v>44722</v>
      </c>
      <c r="E229" t="s">
        <v>0</v>
      </c>
      <c r="F229" t="s">
        <v>1</v>
      </c>
      <c r="G229" t="s">
        <v>1286</v>
      </c>
      <c r="H229" t="s">
        <v>1281</v>
      </c>
      <c r="J229" s="3" t="s">
        <v>4</v>
      </c>
      <c r="K229" s="2">
        <v>44782</v>
      </c>
      <c r="L229" s="4">
        <v>50000</v>
      </c>
      <c r="M229" t="s">
        <v>5</v>
      </c>
      <c r="N229" s="4">
        <v>50000</v>
      </c>
      <c r="O229" t="s">
        <v>1287</v>
      </c>
      <c r="P229" s="4">
        <v>45375</v>
      </c>
      <c r="Q229" s="5">
        <v>-40</v>
      </c>
      <c r="R229" t="s">
        <v>1288</v>
      </c>
      <c r="S229" t="s">
        <v>1289</v>
      </c>
      <c r="T229" t="s">
        <v>4</v>
      </c>
      <c r="U229" t="s">
        <v>1290</v>
      </c>
      <c r="V229" s="2">
        <v>44743</v>
      </c>
      <c r="W229" t="s">
        <v>10</v>
      </c>
    </row>
    <row r="230" spans="1:23" ht="14.1" customHeight="1" outlineLevel="2" x14ac:dyDescent="0.25">
      <c r="A230" t="str">
        <f t="shared" si="3"/>
        <v>9990005187FRESNOMAQ INDUSTRIA DE MAQUINAS S A10000</v>
      </c>
      <c r="B230" t="s">
        <v>1990</v>
      </c>
      <c r="C230">
        <v>9990005187</v>
      </c>
      <c r="D230" s="2">
        <v>44722</v>
      </c>
      <c r="E230" t="s">
        <v>0</v>
      </c>
      <c r="F230" t="s">
        <v>1</v>
      </c>
      <c r="G230" t="s">
        <v>1291</v>
      </c>
      <c r="H230" t="s">
        <v>253</v>
      </c>
      <c r="J230" s="3" t="s">
        <v>4</v>
      </c>
      <c r="K230" s="2">
        <v>44752</v>
      </c>
      <c r="L230" s="4">
        <v>10000</v>
      </c>
      <c r="M230" t="s">
        <v>5</v>
      </c>
      <c r="N230" s="4">
        <v>10000</v>
      </c>
      <c r="O230" t="s">
        <v>1292</v>
      </c>
      <c r="P230" s="4">
        <v>9075</v>
      </c>
      <c r="Q230" s="5">
        <v>-10</v>
      </c>
      <c r="R230" t="s">
        <v>1293</v>
      </c>
      <c r="S230" t="s">
        <v>1294</v>
      </c>
      <c r="T230" t="s">
        <v>4</v>
      </c>
      <c r="U230" t="s">
        <v>1295</v>
      </c>
      <c r="V230" s="2">
        <v>44743</v>
      </c>
      <c r="W230" t="s">
        <v>10</v>
      </c>
    </row>
    <row r="231" spans="1:23" ht="14.1" customHeight="1" outlineLevel="2" x14ac:dyDescent="0.25">
      <c r="A231" t="str">
        <f t="shared" si="3"/>
        <v>9990005187FRESNOMAQ INDUSTRIA DE MAQUINAS S A10000</v>
      </c>
      <c r="B231" t="s">
        <v>1990</v>
      </c>
      <c r="C231">
        <v>9990005187</v>
      </c>
      <c r="D231" s="2">
        <v>44722</v>
      </c>
      <c r="E231" t="s">
        <v>0</v>
      </c>
      <c r="F231" t="s">
        <v>1</v>
      </c>
      <c r="G231" t="s">
        <v>1296</v>
      </c>
      <c r="H231" t="s">
        <v>253</v>
      </c>
      <c r="J231" s="3" t="s">
        <v>4</v>
      </c>
      <c r="K231" s="2">
        <v>44752</v>
      </c>
      <c r="L231" s="4">
        <v>10000</v>
      </c>
      <c r="M231" t="s">
        <v>5</v>
      </c>
      <c r="N231" s="4">
        <v>10000</v>
      </c>
      <c r="O231" t="s">
        <v>1297</v>
      </c>
      <c r="P231" s="4">
        <v>9075</v>
      </c>
      <c r="Q231" s="5">
        <v>-10</v>
      </c>
      <c r="R231" t="s">
        <v>1298</v>
      </c>
      <c r="S231" t="s">
        <v>1299</v>
      </c>
      <c r="T231" t="s">
        <v>4</v>
      </c>
      <c r="U231" t="s">
        <v>1300</v>
      </c>
      <c r="V231" s="2">
        <v>44743</v>
      </c>
      <c r="W231" t="s">
        <v>10</v>
      </c>
    </row>
    <row r="232" spans="1:23" ht="14.1" customHeight="1" outlineLevel="2" x14ac:dyDescent="0.25">
      <c r="A232" t="str">
        <f t="shared" si="3"/>
        <v>9990005188PROCTER &amp; GAMBLE INDUSTRIAL343,51</v>
      </c>
      <c r="B232" t="s">
        <v>2164</v>
      </c>
      <c r="C232">
        <v>9990005188</v>
      </c>
      <c r="D232" s="2">
        <v>44663</v>
      </c>
      <c r="E232" t="s">
        <v>0</v>
      </c>
      <c r="F232" t="s">
        <v>1</v>
      </c>
      <c r="G232" t="s">
        <v>1301</v>
      </c>
      <c r="H232" t="s">
        <v>264</v>
      </c>
      <c r="J232" s="3" t="s">
        <v>4</v>
      </c>
      <c r="K232" s="2">
        <v>44753</v>
      </c>
      <c r="L232" s="4">
        <v>343.51</v>
      </c>
      <c r="M232" t="s">
        <v>5</v>
      </c>
      <c r="N232" s="4">
        <v>343.51</v>
      </c>
      <c r="O232" t="s">
        <v>1302</v>
      </c>
      <c r="P232" s="4">
        <v>311.73</v>
      </c>
      <c r="Q232" s="5">
        <v>-11</v>
      </c>
      <c r="R232" t="s">
        <v>1303</v>
      </c>
      <c r="S232" t="s">
        <v>1304</v>
      </c>
      <c r="T232" t="s">
        <v>1305</v>
      </c>
      <c r="U232" t="s">
        <v>1306</v>
      </c>
      <c r="V232" s="2">
        <v>44743</v>
      </c>
      <c r="W232" t="s">
        <v>10</v>
      </c>
    </row>
    <row r="233" spans="1:23" ht="14.1" customHeight="1" outlineLevel="2" x14ac:dyDescent="0.25">
      <c r="A233" t="str">
        <f t="shared" si="3"/>
        <v>9990005188PROCTER &amp; GAMBLE INDUSTRIAL1363,85</v>
      </c>
      <c r="B233" t="s">
        <v>2165</v>
      </c>
      <c r="C233">
        <v>9990005188</v>
      </c>
      <c r="D233" s="2">
        <v>44663</v>
      </c>
      <c r="E233" t="s">
        <v>0</v>
      </c>
      <c r="F233" t="s">
        <v>1</v>
      </c>
      <c r="G233" t="s">
        <v>1307</v>
      </c>
      <c r="H233" t="s">
        <v>264</v>
      </c>
      <c r="J233" s="3" t="s">
        <v>4</v>
      </c>
      <c r="K233" s="2">
        <v>44769</v>
      </c>
      <c r="L233" s="4">
        <v>1363.85</v>
      </c>
      <c r="M233" t="s">
        <v>5</v>
      </c>
      <c r="N233" s="4">
        <v>1363.85</v>
      </c>
      <c r="O233" t="s">
        <v>1308</v>
      </c>
      <c r="P233" s="4">
        <v>1237.7</v>
      </c>
      <c r="Q233" s="5">
        <v>-27</v>
      </c>
      <c r="R233" t="s">
        <v>1309</v>
      </c>
      <c r="S233" t="s">
        <v>1310</v>
      </c>
      <c r="T233" t="s">
        <v>1311</v>
      </c>
      <c r="U233" t="s">
        <v>1312</v>
      </c>
      <c r="V233" s="2">
        <v>44743</v>
      </c>
      <c r="W233" t="s">
        <v>10</v>
      </c>
    </row>
    <row r="234" spans="1:23" ht="14.1" customHeight="1" outlineLevel="2" x14ac:dyDescent="0.25">
      <c r="A234" t="str">
        <f t="shared" si="3"/>
        <v>9990005188PROCTER &amp; GAMBLE INDUSTRIAL7239</v>
      </c>
      <c r="B234" t="s">
        <v>2166</v>
      </c>
      <c r="C234">
        <v>9990005188</v>
      </c>
      <c r="D234" s="2">
        <v>44692</v>
      </c>
      <c r="E234" t="s">
        <v>0</v>
      </c>
      <c r="F234" t="s">
        <v>1</v>
      </c>
      <c r="G234" t="s">
        <v>1313</v>
      </c>
      <c r="H234" t="s">
        <v>264</v>
      </c>
      <c r="J234" s="3" t="s">
        <v>4</v>
      </c>
      <c r="K234" s="2">
        <v>44782</v>
      </c>
      <c r="L234" s="4">
        <v>7239</v>
      </c>
      <c r="M234" t="s">
        <v>5</v>
      </c>
      <c r="N234" s="4">
        <v>7239</v>
      </c>
      <c r="O234" t="s">
        <v>1314</v>
      </c>
      <c r="P234" s="4">
        <v>6569.4</v>
      </c>
      <c r="Q234" s="5">
        <v>-40</v>
      </c>
      <c r="R234" t="s">
        <v>1315</v>
      </c>
      <c r="S234" t="s">
        <v>1316</v>
      </c>
      <c r="T234" t="s">
        <v>1317</v>
      </c>
      <c r="U234" t="s">
        <v>1318</v>
      </c>
      <c r="V234" s="2">
        <v>44743</v>
      </c>
      <c r="W234" t="s">
        <v>10</v>
      </c>
    </row>
    <row r="235" spans="1:23" ht="14.1" customHeight="1" outlineLevel="2" x14ac:dyDescent="0.25">
      <c r="A235" t="str">
        <f t="shared" si="3"/>
        <v>9990005188PROCTER &amp; GAMBLE INDUSTRIAL10000</v>
      </c>
      <c r="B235" t="s">
        <v>2167</v>
      </c>
      <c r="C235">
        <v>9990005188</v>
      </c>
      <c r="D235" s="2">
        <v>44722</v>
      </c>
      <c r="E235" t="s">
        <v>0</v>
      </c>
      <c r="F235" t="s">
        <v>1</v>
      </c>
      <c r="G235" t="s">
        <v>1319</v>
      </c>
      <c r="H235" t="s">
        <v>264</v>
      </c>
      <c r="J235" s="3" t="s">
        <v>4</v>
      </c>
      <c r="K235" s="2">
        <v>44812</v>
      </c>
      <c r="L235" s="4">
        <v>10000</v>
      </c>
      <c r="M235" t="s">
        <v>5</v>
      </c>
      <c r="N235" s="4">
        <v>10000</v>
      </c>
      <c r="O235" t="s">
        <v>1320</v>
      </c>
      <c r="P235" s="4">
        <v>9075</v>
      </c>
      <c r="Q235" s="5">
        <v>-70</v>
      </c>
      <c r="R235" t="s">
        <v>1321</v>
      </c>
      <c r="S235" t="s">
        <v>1322</v>
      </c>
      <c r="T235" t="s">
        <v>1323</v>
      </c>
      <c r="U235" t="s">
        <v>1324</v>
      </c>
      <c r="V235" s="2">
        <v>44743</v>
      </c>
      <c r="W235" t="s">
        <v>10</v>
      </c>
    </row>
    <row r="236" spans="1:23" ht="14.1" customHeight="1" outlineLevel="2" x14ac:dyDescent="0.25">
      <c r="A236" t="str">
        <f t="shared" si="3"/>
        <v>9990005188PROCTER &amp; GAMBLE INDUSTRIAL10000</v>
      </c>
      <c r="B236" t="s">
        <v>2167</v>
      </c>
      <c r="C236">
        <v>9990005188</v>
      </c>
      <c r="D236" s="2">
        <v>44692</v>
      </c>
      <c r="E236" t="s">
        <v>0</v>
      </c>
      <c r="F236" t="s">
        <v>1</v>
      </c>
      <c r="G236" t="s">
        <v>1325</v>
      </c>
      <c r="H236" t="s">
        <v>264</v>
      </c>
      <c r="J236" s="3" t="s">
        <v>4</v>
      </c>
      <c r="K236" s="2">
        <v>44782</v>
      </c>
      <c r="L236" s="4">
        <v>10000</v>
      </c>
      <c r="M236" t="s">
        <v>5</v>
      </c>
      <c r="N236" s="4">
        <v>10000</v>
      </c>
      <c r="O236" t="s">
        <v>1326</v>
      </c>
      <c r="P236" s="4">
        <v>9075</v>
      </c>
      <c r="Q236" s="5">
        <v>-40</v>
      </c>
      <c r="R236" t="s">
        <v>1327</v>
      </c>
      <c r="S236" t="s">
        <v>1328</v>
      </c>
      <c r="T236" t="s">
        <v>1329</v>
      </c>
      <c r="U236" t="s">
        <v>1330</v>
      </c>
      <c r="V236" s="2">
        <v>44743</v>
      </c>
      <c r="W236" t="s">
        <v>10</v>
      </c>
    </row>
    <row r="237" spans="1:23" ht="14.1" customHeight="1" outlineLevel="2" x14ac:dyDescent="0.25">
      <c r="A237" t="str">
        <f t="shared" si="3"/>
        <v>9990005188PROCTER &amp; GAMBLE INDUSTRIAL78482,43</v>
      </c>
      <c r="B237" t="s">
        <v>2168</v>
      </c>
      <c r="C237">
        <v>9990005188</v>
      </c>
      <c r="D237" s="2">
        <v>44692</v>
      </c>
      <c r="E237" t="s">
        <v>0</v>
      </c>
      <c r="F237" t="s">
        <v>1</v>
      </c>
      <c r="G237" t="s">
        <v>1331</v>
      </c>
      <c r="H237" t="s">
        <v>264</v>
      </c>
      <c r="J237" s="3" t="s">
        <v>4</v>
      </c>
      <c r="K237" s="2">
        <v>44782</v>
      </c>
      <c r="L237" s="4">
        <v>78482.429999999993</v>
      </c>
      <c r="M237" t="s">
        <v>5</v>
      </c>
      <c r="N237" s="4">
        <v>78482.429999999993</v>
      </c>
      <c r="O237" t="s">
        <v>1332</v>
      </c>
      <c r="P237" s="4">
        <v>71222.81</v>
      </c>
      <c r="Q237" s="5">
        <v>-40</v>
      </c>
      <c r="R237" t="s">
        <v>1333</v>
      </c>
      <c r="S237" t="s">
        <v>1334</v>
      </c>
      <c r="T237" t="s">
        <v>4</v>
      </c>
      <c r="U237" t="s">
        <v>1335</v>
      </c>
      <c r="V237" s="2">
        <v>44743</v>
      </c>
      <c r="W237" t="s">
        <v>10</v>
      </c>
    </row>
    <row r="238" spans="1:23" ht="14.1" customHeight="1" outlineLevel="2" x14ac:dyDescent="0.25">
      <c r="A238" t="str">
        <f t="shared" si="3"/>
        <v>9990005188PROCTER &amp; GAMBLE INDUSTRIAL340,06</v>
      </c>
      <c r="B238" t="s">
        <v>2169</v>
      </c>
      <c r="C238">
        <v>9990005188</v>
      </c>
      <c r="D238" s="2">
        <v>44663</v>
      </c>
      <c r="E238" t="s">
        <v>0</v>
      </c>
      <c r="F238" t="s">
        <v>1</v>
      </c>
      <c r="G238" t="s">
        <v>1336</v>
      </c>
      <c r="H238" t="s">
        <v>264</v>
      </c>
      <c r="J238" s="3" t="s">
        <v>4</v>
      </c>
      <c r="K238" s="2">
        <v>44753</v>
      </c>
      <c r="L238" s="4">
        <v>340.06</v>
      </c>
      <c r="M238" t="s">
        <v>5</v>
      </c>
      <c r="N238" s="4">
        <v>340.06</v>
      </c>
      <c r="O238" t="s">
        <v>1337</v>
      </c>
      <c r="P238" s="4">
        <v>308.61</v>
      </c>
      <c r="Q238" s="5">
        <v>-11</v>
      </c>
      <c r="R238" t="s">
        <v>1338</v>
      </c>
      <c r="S238" t="s">
        <v>1339</v>
      </c>
      <c r="T238" t="s">
        <v>1340</v>
      </c>
      <c r="U238" t="s">
        <v>1341</v>
      </c>
      <c r="V238" s="2">
        <v>44743</v>
      </c>
      <c r="W238" t="s">
        <v>10</v>
      </c>
    </row>
    <row r="239" spans="1:23" ht="14.1" customHeight="1" outlineLevel="2" x14ac:dyDescent="0.25">
      <c r="A239" t="str">
        <f t="shared" si="3"/>
        <v>9990005188PROCTER &amp; GAMBLE INDUSTRIAL1917,16</v>
      </c>
      <c r="B239" t="s">
        <v>2170</v>
      </c>
      <c r="C239">
        <v>9990005188</v>
      </c>
      <c r="D239" s="2">
        <v>44663</v>
      </c>
      <c r="E239" t="s">
        <v>0</v>
      </c>
      <c r="F239" t="s">
        <v>1</v>
      </c>
      <c r="G239" t="s">
        <v>1342</v>
      </c>
      <c r="H239" t="s">
        <v>264</v>
      </c>
      <c r="J239" s="3" t="s">
        <v>4</v>
      </c>
      <c r="K239" s="2">
        <v>44753</v>
      </c>
      <c r="L239" s="4">
        <v>1917.16</v>
      </c>
      <c r="M239" t="s">
        <v>5</v>
      </c>
      <c r="N239" s="4">
        <v>1917.16</v>
      </c>
      <c r="O239" t="s">
        <v>1343</v>
      </c>
      <c r="P239" s="4">
        <v>1739.83</v>
      </c>
      <c r="Q239" s="5">
        <v>-11</v>
      </c>
      <c r="R239" t="s">
        <v>1344</v>
      </c>
      <c r="S239" t="s">
        <v>1345</v>
      </c>
      <c r="T239" t="s">
        <v>1346</v>
      </c>
      <c r="U239" t="s">
        <v>1347</v>
      </c>
      <c r="V239" s="2">
        <v>44743</v>
      </c>
      <c r="W239" t="s">
        <v>10</v>
      </c>
    </row>
    <row r="240" spans="1:23" ht="14.1" customHeight="1" outlineLevel="2" x14ac:dyDescent="0.25">
      <c r="A240" t="str">
        <f t="shared" si="3"/>
        <v>9990005188PROCTER &amp; GAMBLE INDUSTRIAL103,94</v>
      </c>
      <c r="B240" t="s">
        <v>2171</v>
      </c>
      <c r="C240">
        <v>9990005188</v>
      </c>
      <c r="D240" s="2">
        <v>44663</v>
      </c>
      <c r="E240" t="s">
        <v>0</v>
      </c>
      <c r="F240" t="s">
        <v>1</v>
      </c>
      <c r="G240" t="s">
        <v>1348</v>
      </c>
      <c r="H240" t="s">
        <v>264</v>
      </c>
      <c r="J240" s="3" t="s">
        <v>4</v>
      </c>
      <c r="K240" s="2">
        <v>44753</v>
      </c>
      <c r="L240" s="4">
        <v>103.94</v>
      </c>
      <c r="M240" t="s">
        <v>5</v>
      </c>
      <c r="N240" s="4">
        <v>103.94</v>
      </c>
      <c r="O240" t="s">
        <v>1349</v>
      </c>
      <c r="P240" s="4">
        <v>94.32</v>
      </c>
      <c r="Q240" s="5">
        <v>-11</v>
      </c>
      <c r="R240" t="s">
        <v>1350</v>
      </c>
      <c r="S240" t="s">
        <v>1351</v>
      </c>
      <c r="T240" t="s">
        <v>1352</v>
      </c>
      <c r="U240" t="s">
        <v>1353</v>
      </c>
      <c r="V240" s="2">
        <v>44743</v>
      </c>
      <c r="W240" t="s">
        <v>10</v>
      </c>
    </row>
    <row r="241" spans="1:23" ht="14.1" customHeight="1" outlineLevel="2" x14ac:dyDescent="0.25">
      <c r="A241" t="str">
        <f t="shared" si="3"/>
        <v>9990005188PROCTER &amp; GAMBLE INDUSTRIAL10474,51</v>
      </c>
      <c r="B241" t="s">
        <v>2172</v>
      </c>
      <c r="C241">
        <v>9990005188</v>
      </c>
      <c r="D241" s="2">
        <v>44663</v>
      </c>
      <c r="E241" t="s">
        <v>0</v>
      </c>
      <c r="F241" t="s">
        <v>1</v>
      </c>
      <c r="G241" t="s">
        <v>1354</v>
      </c>
      <c r="H241" t="s">
        <v>264</v>
      </c>
      <c r="J241" s="3" t="s">
        <v>4</v>
      </c>
      <c r="K241" s="2">
        <v>44769</v>
      </c>
      <c r="L241" s="4">
        <v>10474.51</v>
      </c>
      <c r="M241" t="s">
        <v>5</v>
      </c>
      <c r="N241" s="4">
        <v>10474.51</v>
      </c>
      <c r="O241" t="s">
        <v>1355</v>
      </c>
      <c r="P241" s="4">
        <v>9505.6200000000008</v>
      </c>
      <c r="Q241" s="5">
        <v>-27</v>
      </c>
      <c r="R241" t="s">
        <v>1356</v>
      </c>
      <c r="S241" t="s">
        <v>1357</v>
      </c>
      <c r="T241" t="s">
        <v>1358</v>
      </c>
      <c r="U241" t="s">
        <v>1359</v>
      </c>
      <c r="V241" s="2">
        <v>44743</v>
      </c>
      <c r="W241" t="s">
        <v>10</v>
      </c>
    </row>
    <row r="242" spans="1:23" ht="14.1" customHeight="1" outlineLevel="2" x14ac:dyDescent="0.25">
      <c r="A242" t="str">
        <f t="shared" si="3"/>
        <v>9990005188PROCTER &amp; GAMBLE INDUSTRIAL916,31</v>
      </c>
      <c r="B242" t="s">
        <v>2173</v>
      </c>
      <c r="C242">
        <v>9990005188</v>
      </c>
      <c r="D242" s="2">
        <v>44663</v>
      </c>
      <c r="E242" t="s">
        <v>0</v>
      </c>
      <c r="F242" t="s">
        <v>1</v>
      </c>
      <c r="G242" t="s">
        <v>1360</v>
      </c>
      <c r="H242" t="s">
        <v>264</v>
      </c>
      <c r="J242" s="3" t="s">
        <v>4</v>
      </c>
      <c r="K242" s="2">
        <v>44753</v>
      </c>
      <c r="L242" s="4">
        <v>916.31</v>
      </c>
      <c r="M242" t="s">
        <v>5</v>
      </c>
      <c r="N242" s="4">
        <v>916.31</v>
      </c>
      <c r="O242" t="s">
        <v>1361</v>
      </c>
      <c r="P242" s="4">
        <v>831.55</v>
      </c>
      <c r="Q242" s="5">
        <v>-11</v>
      </c>
      <c r="R242" t="s">
        <v>1362</v>
      </c>
      <c r="S242" t="s">
        <v>1363</v>
      </c>
      <c r="T242" t="s">
        <v>1364</v>
      </c>
      <c r="U242" t="s">
        <v>1365</v>
      </c>
      <c r="V242" s="2">
        <v>44743</v>
      </c>
      <c r="W242" t="s">
        <v>10</v>
      </c>
    </row>
    <row r="243" spans="1:23" ht="14.1" customHeight="1" outlineLevel="2" x14ac:dyDescent="0.25">
      <c r="A243" t="str">
        <f t="shared" si="3"/>
        <v>9990005188PROCTER &amp; GAMBLE INDUSTRIAL2116,99</v>
      </c>
      <c r="B243" t="s">
        <v>2174</v>
      </c>
      <c r="C243">
        <v>9990005188</v>
      </c>
      <c r="D243" s="2">
        <v>44663</v>
      </c>
      <c r="E243" t="s">
        <v>0</v>
      </c>
      <c r="F243" t="s">
        <v>1</v>
      </c>
      <c r="G243" t="s">
        <v>1366</v>
      </c>
      <c r="H243" t="s">
        <v>264</v>
      </c>
      <c r="J243" s="3" t="s">
        <v>4</v>
      </c>
      <c r="K243" s="2">
        <v>44769</v>
      </c>
      <c r="L243" s="4">
        <v>2116.9899999999998</v>
      </c>
      <c r="M243" t="s">
        <v>5</v>
      </c>
      <c r="N243" s="4">
        <v>2116.9899999999998</v>
      </c>
      <c r="O243" t="s">
        <v>1367</v>
      </c>
      <c r="P243" s="4">
        <v>1921.17</v>
      </c>
      <c r="Q243" s="5">
        <v>-27</v>
      </c>
      <c r="R243" t="s">
        <v>1368</v>
      </c>
      <c r="S243" t="s">
        <v>1369</v>
      </c>
      <c r="T243" t="s">
        <v>1370</v>
      </c>
      <c r="U243" t="s">
        <v>1371</v>
      </c>
      <c r="V243" s="2">
        <v>44743</v>
      </c>
      <c r="W243" t="s">
        <v>10</v>
      </c>
    </row>
    <row r="244" spans="1:23" ht="14.1" customHeight="1" outlineLevel="2" x14ac:dyDescent="0.25">
      <c r="A244" t="str">
        <f t="shared" si="3"/>
        <v>9990005188PROCTER &amp; GAMBLE INDUSTRIAL5124,35</v>
      </c>
      <c r="B244" t="s">
        <v>2175</v>
      </c>
      <c r="C244">
        <v>9990005188</v>
      </c>
      <c r="D244" s="2">
        <v>44663</v>
      </c>
      <c r="E244" t="s">
        <v>0</v>
      </c>
      <c r="F244" t="s">
        <v>1</v>
      </c>
      <c r="G244" t="s">
        <v>1372</v>
      </c>
      <c r="H244" t="s">
        <v>264</v>
      </c>
      <c r="J244" s="3" t="s">
        <v>4</v>
      </c>
      <c r="K244" s="2">
        <v>44753</v>
      </c>
      <c r="L244" s="4">
        <v>5124.3500000000004</v>
      </c>
      <c r="M244" t="s">
        <v>5</v>
      </c>
      <c r="N244" s="4">
        <v>5124.3500000000004</v>
      </c>
      <c r="O244" t="s">
        <v>1373</v>
      </c>
      <c r="P244" s="4">
        <v>4650.3500000000004</v>
      </c>
      <c r="Q244" s="5">
        <v>-11</v>
      </c>
      <c r="R244" t="s">
        <v>1374</v>
      </c>
      <c r="S244" t="s">
        <v>1375</v>
      </c>
      <c r="T244" t="s">
        <v>1376</v>
      </c>
      <c r="U244" t="s">
        <v>1377</v>
      </c>
      <c r="V244" s="2">
        <v>44743</v>
      </c>
      <c r="W244" t="s">
        <v>10</v>
      </c>
    </row>
    <row r="245" spans="1:23" ht="14.1" customHeight="1" outlineLevel="2" x14ac:dyDescent="0.25">
      <c r="A245" t="str">
        <f t="shared" si="3"/>
        <v>9990005188PROCTER &amp; GAMBLE INDUSTRIAL818</v>
      </c>
      <c r="B245" t="s">
        <v>2176</v>
      </c>
      <c r="C245">
        <v>9990005188</v>
      </c>
      <c r="D245" s="2">
        <v>44692</v>
      </c>
      <c r="E245" t="s">
        <v>0</v>
      </c>
      <c r="F245" t="s">
        <v>1</v>
      </c>
      <c r="G245" t="s">
        <v>1378</v>
      </c>
      <c r="H245" t="s">
        <v>264</v>
      </c>
      <c r="J245" s="3" t="s">
        <v>4</v>
      </c>
      <c r="K245" s="2">
        <v>44782</v>
      </c>
      <c r="L245" s="4">
        <v>818</v>
      </c>
      <c r="M245" t="s">
        <v>5</v>
      </c>
      <c r="N245" s="4">
        <v>818</v>
      </c>
      <c r="O245" t="s">
        <v>1379</v>
      </c>
      <c r="P245" s="4">
        <v>742.33</v>
      </c>
      <c r="Q245" s="5">
        <v>-40</v>
      </c>
      <c r="R245" t="s">
        <v>1380</v>
      </c>
      <c r="S245" t="s">
        <v>1381</v>
      </c>
      <c r="T245" t="s">
        <v>1382</v>
      </c>
      <c r="U245" t="s">
        <v>1383</v>
      </c>
      <c r="V245" s="2">
        <v>44743</v>
      </c>
      <c r="W245" t="s">
        <v>10</v>
      </c>
    </row>
    <row r="246" spans="1:23" ht="14.1" customHeight="1" outlineLevel="2" x14ac:dyDescent="0.25">
      <c r="A246" t="str">
        <f t="shared" si="3"/>
        <v>9990005188PROCTER &amp; GAMBLE INDUSTRIAL10000</v>
      </c>
      <c r="B246" t="s">
        <v>2167</v>
      </c>
      <c r="C246">
        <v>9990005188</v>
      </c>
      <c r="D246" s="2">
        <v>44692</v>
      </c>
      <c r="E246" t="s">
        <v>0</v>
      </c>
      <c r="F246" t="s">
        <v>1</v>
      </c>
      <c r="G246" t="s">
        <v>1384</v>
      </c>
      <c r="H246" t="s">
        <v>264</v>
      </c>
      <c r="J246" s="3" t="s">
        <v>4</v>
      </c>
      <c r="K246" s="2">
        <v>44782</v>
      </c>
      <c r="L246" s="4">
        <v>10000</v>
      </c>
      <c r="M246" t="s">
        <v>5</v>
      </c>
      <c r="N246" s="4">
        <v>10000</v>
      </c>
      <c r="O246" t="s">
        <v>1385</v>
      </c>
      <c r="P246" s="4">
        <v>9075</v>
      </c>
      <c r="Q246" s="5">
        <v>-40</v>
      </c>
      <c r="R246" t="s">
        <v>1386</v>
      </c>
      <c r="S246" t="s">
        <v>1387</v>
      </c>
      <c r="T246" t="s">
        <v>1388</v>
      </c>
      <c r="U246" t="s">
        <v>1389</v>
      </c>
      <c r="V246" s="2">
        <v>44743</v>
      </c>
      <c r="W246" t="s">
        <v>10</v>
      </c>
    </row>
    <row r="247" spans="1:23" ht="14.1" customHeight="1" outlineLevel="2" x14ac:dyDescent="0.25">
      <c r="A247" t="str">
        <f t="shared" si="3"/>
        <v>9990005188PROCTER &amp; GAMBLE INDUSTRIAL10000</v>
      </c>
      <c r="B247" t="s">
        <v>2167</v>
      </c>
      <c r="C247">
        <v>9990005188</v>
      </c>
      <c r="D247" s="2">
        <v>44692</v>
      </c>
      <c r="E247" t="s">
        <v>0</v>
      </c>
      <c r="F247" t="s">
        <v>1</v>
      </c>
      <c r="G247" t="s">
        <v>1390</v>
      </c>
      <c r="H247" t="s">
        <v>264</v>
      </c>
      <c r="J247" s="3" t="s">
        <v>4</v>
      </c>
      <c r="K247" s="2">
        <v>44782</v>
      </c>
      <c r="L247" s="4">
        <v>10000</v>
      </c>
      <c r="M247" t="s">
        <v>5</v>
      </c>
      <c r="N247" s="4">
        <v>10000</v>
      </c>
      <c r="O247" t="s">
        <v>1391</v>
      </c>
      <c r="P247" s="4">
        <v>9075</v>
      </c>
      <c r="Q247" s="5">
        <v>-40</v>
      </c>
      <c r="R247" t="s">
        <v>1392</v>
      </c>
      <c r="S247" t="s">
        <v>1393</v>
      </c>
      <c r="T247" t="s">
        <v>1394</v>
      </c>
      <c r="U247" t="s">
        <v>1395</v>
      </c>
      <c r="V247" s="2">
        <v>44743</v>
      </c>
      <c r="W247" t="s">
        <v>10</v>
      </c>
    </row>
    <row r="248" spans="1:23" ht="14.1" customHeight="1" outlineLevel="2" x14ac:dyDescent="0.25">
      <c r="A248" t="str">
        <f t="shared" si="3"/>
        <v>9990005188PROCTER &amp; GAMBLE INDUSTRIAL51997,41</v>
      </c>
      <c r="B248" t="s">
        <v>2177</v>
      </c>
      <c r="C248">
        <v>9990005188</v>
      </c>
      <c r="D248" s="2">
        <v>44722</v>
      </c>
      <c r="E248" t="s">
        <v>0</v>
      </c>
      <c r="F248" t="s">
        <v>1</v>
      </c>
      <c r="G248" t="s">
        <v>1396</v>
      </c>
      <c r="H248" t="s">
        <v>264</v>
      </c>
      <c r="J248" s="3" t="s">
        <v>4</v>
      </c>
      <c r="K248" s="2">
        <v>44812</v>
      </c>
      <c r="L248" s="4">
        <v>51997.41</v>
      </c>
      <c r="M248" t="s">
        <v>5</v>
      </c>
      <c r="N248" s="4">
        <v>51997.41</v>
      </c>
      <c r="O248" t="s">
        <v>1397</v>
      </c>
      <c r="P248" s="4">
        <v>47187.65</v>
      </c>
      <c r="Q248" s="5">
        <v>-70</v>
      </c>
      <c r="R248" t="s">
        <v>1398</v>
      </c>
      <c r="S248" t="s">
        <v>1399</v>
      </c>
      <c r="T248" t="s">
        <v>4</v>
      </c>
      <c r="U248" t="s">
        <v>1400</v>
      </c>
      <c r="V248" s="2">
        <v>44743</v>
      </c>
      <c r="W248" t="s">
        <v>10</v>
      </c>
    </row>
    <row r="249" spans="1:23" ht="14.1" customHeight="1" outlineLevel="2" x14ac:dyDescent="0.25">
      <c r="A249" t="str">
        <f t="shared" si="3"/>
        <v>9990005188PROCTER &amp; GAMBLE INDUSTRIAL1600,42</v>
      </c>
      <c r="B249" t="s">
        <v>2178</v>
      </c>
      <c r="C249">
        <v>9990005188</v>
      </c>
      <c r="D249" s="2">
        <v>44663</v>
      </c>
      <c r="E249" t="s">
        <v>0</v>
      </c>
      <c r="F249" t="s">
        <v>1</v>
      </c>
      <c r="G249" t="s">
        <v>1401</v>
      </c>
      <c r="H249" t="s">
        <v>264</v>
      </c>
      <c r="J249" s="3" t="s">
        <v>4</v>
      </c>
      <c r="K249" s="2">
        <v>44753</v>
      </c>
      <c r="L249" s="4">
        <v>1600.42</v>
      </c>
      <c r="M249" t="s">
        <v>5</v>
      </c>
      <c r="N249" s="4">
        <v>1600.42</v>
      </c>
      <c r="O249" t="s">
        <v>1402</v>
      </c>
      <c r="P249" s="4">
        <v>1452.38</v>
      </c>
      <c r="Q249" s="5">
        <v>-11</v>
      </c>
      <c r="R249" t="s">
        <v>1403</v>
      </c>
      <c r="S249" t="s">
        <v>1404</v>
      </c>
      <c r="T249" t="s">
        <v>1405</v>
      </c>
      <c r="U249" t="s">
        <v>1406</v>
      </c>
      <c r="V249" s="2">
        <v>44743</v>
      </c>
      <c r="W249" t="s">
        <v>10</v>
      </c>
    </row>
    <row r="250" spans="1:23" ht="14.1" customHeight="1" outlineLevel="2" x14ac:dyDescent="0.25">
      <c r="A250" t="str">
        <f t="shared" si="3"/>
        <v>9990005221PUIG BRASIL COMERC DE PERFUMES LTDA9994</v>
      </c>
      <c r="B250" t="s">
        <v>2179</v>
      </c>
      <c r="C250">
        <v>9990005221</v>
      </c>
      <c r="D250" s="2">
        <v>44722</v>
      </c>
      <c r="E250" t="s">
        <v>0</v>
      </c>
      <c r="F250" t="s">
        <v>1</v>
      </c>
      <c r="G250" t="s">
        <v>1407</v>
      </c>
      <c r="H250" t="s">
        <v>1408</v>
      </c>
      <c r="J250" s="3" t="s">
        <v>4</v>
      </c>
      <c r="K250" s="2">
        <v>44752</v>
      </c>
      <c r="L250" s="4">
        <v>9994</v>
      </c>
      <c r="M250" t="s">
        <v>5</v>
      </c>
      <c r="N250" s="4">
        <v>9994</v>
      </c>
      <c r="O250" t="s">
        <v>1409</v>
      </c>
      <c r="P250" s="4">
        <v>9069.56</v>
      </c>
      <c r="Q250" s="5">
        <v>-10</v>
      </c>
      <c r="R250" t="s">
        <v>1410</v>
      </c>
      <c r="S250" t="s">
        <v>1411</v>
      </c>
      <c r="T250" t="s">
        <v>4</v>
      </c>
      <c r="U250" t="s">
        <v>1412</v>
      </c>
      <c r="V250" s="2">
        <v>44743</v>
      </c>
      <c r="W250" t="s">
        <v>10</v>
      </c>
    </row>
    <row r="251" spans="1:23" ht="14.1" customHeight="1" outlineLevel="2" x14ac:dyDescent="0.25">
      <c r="A251" t="str">
        <f t="shared" si="3"/>
        <v>9990005234Intel Corporation237865,42</v>
      </c>
      <c r="B251" t="s">
        <v>2180</v>
      </c>
      <c r="C251">
        <v>9990005234</v>
      </c>
      <c r="D251" s="2">
        <v>44692</v>
      </c>
      <c r="E251" t="s">
        <v>0</v>
      </c>
      <c r="F251" t="s">
        <v>1</v>
      </c>
      <c r="G251" t="s">
        <v>1413</v>
      </c>
      <c r="H251" t="s">
        <v>1414</v>
      </c>
      <c r="J251" s="3" t="s">
        <v>4</v>
      </c>
      <c r="K251" s="2">
        <v>44782</v>
      </c>
      <c r="L251" s="4">
        <v>237865.42</v>
      </c>
      <c r="M251" t="s">
        <v>5</v>
      </c>
      <c r="N251" s="4">
        <v>237865.42</v>
      </c>
      <c r="O251" t="s">
        <v>1415</v>
      </c>
      <c r="P251" s="4">
        <v>215862.87</v>
      </c>
      <c r="Q251" s="5">
        <v>-40</v>
      </c>
      <c r="R251" t="s">
        <v>1416</v>
      </c>
      <c r="S251" t="s">
        <v>1417</v>
      </c>
      <c r="T251" t="s">
        <v>4</v>
      </c>
      <c r="U251" t="s">
        <v>1418</v>
      </c>
      <c r="V251" s="2">
        <v>44743</v>
      </c>
      <c r="W251" t="s">
        <v>10</v>
      </c>
    </row>
    <row r="252" spans="1:23" ht="14.1" customHeight="1" outlineLevel="2" x14ac:dyDescent="0.25">
      <c r="A252" t="str">
        <f t="shared" si="3"/>
        <v>9990005234Intel Corporation210100</v>
      </c>
      <c r="B252" t="s">
        <v>2181</v>
      </c>
      <c r="C252">
        <v>9990005234</v>
      </c>
      <c r="D252" s="2">
        <v>44722</v>
      </c>
      <c r="E252" t="s">
        <v>0</v>
      </c>
      <c r="F252" t="s">
        <v>1</v>
      </c>
      <c r="G252" t="s">
        <v>1419</v>
      </c>
      <c r="H252" t="s">
        <v>1414</v>
      </c>
      <c r="J252" s="3" t="s">
        <v>4</v>
      </c>
      <c r="K252" s="2">
        <v>44812</v>
      </c>
      <c r="L252" s="4">
        <v>210100</v>
      </c>
      <c r="M252" t="s">
        <v>5</v>
      </c>
      <c r="N252" s="4">
        <v>210100</v>
      </c>
      <c r="O252" t="s">
        <v>1420</v>
      </c>
      <c r="P252" s="4">
        <v>190665.75</v>
      </c>
      <c r="Q252" s="5">
        <v>-70</v>
      </c>
      <c r="R252" t="s">
        <v>1421</v>
      </c>
      <c r="S252" t="s">
        <v>1422</v>
      </c>
      <c r="T252" t="s">
        <v>4</v>
      </c>
      <c r="U252" t="s">
        <v>1423</v>
      </c>
      <c r="V252" s="2">
        <v>44743</v>
      </c>
      <c r="W252" t="s">
        <v>10</v>
      </c>
    </row>
    <row r="253" spans="1:23" ht="14.1" customHeight="1" outlineLevel="2" x14ac:dyDescent="0.25">
      <c r="A253" t="str">
        <f t="shared" si="3"/>
        <v>9990005234Intel Corporation163946,25</v>
      </c>
      <c r="B253" t="s">
        <v>2182</v>
      </c>
      <c r="C253">
        <v>9990005234</v>
      </c>
      <c r="D253" s="2">
        <v>44663</v>
      </c>
      <c r="E253" t="s">
        <v>0</v>
      </c>
      <c r="F253" t="s">
        <v>1</v>
      </c>
      <c r="G253" t="s">
        <v>1424</v>
      </c>
      <c r="H253" t="s">
        <v>1414</v>
      </c>
      <c r="J253" s="3" t="s">
        <v>4</v>
      </c>
      <c r="K253" s="2">
        <v>44753</v>
      </c>
      <c r="L253" s="4">
        <v>163946.25</v>
      </c>
      <c r="M253" t="s">
        <v>5</v>
      </c>
      <c r="N253" s="4">
        <v>163946.25</v>
      </c>
      <c r="O253" t="s">
        <v>1425</v>
      </c>
      <c r="P253" s="4">
        <v>148781.22</v>
      </c>
      <c r="Q253" s="5">
        <v>-11</v>
      </c>
      <c r="R253" t="s">
        <v>1426</v>
      </c>
      <c r="S253" t="s">
        <v>1427</v>
      </c>
      <c r="T253" t="s">
        <v>4</v>
      </c>
      <c r="U253" t="s">
        <v>1428</v>
      </c>
      <c r="V253" s="2">
        <v>44743</v>
      </c>
      <c r="W253" t="s">
        <v>10</v>
      </c>
    </row>
    <row r="254" spans="1:23" ht="14.1" customHeight="1" outlineLevel="2" x14ac:dyDescent="0.25">
      <c r="A254" t="str">
        <f t="shared" si="3"/>
        <v>9990005234Intel Corporation-8379,89</v>
      </c>
      <c r="B254" t="s">
        <v>2183</v>
      </c>
      <c r="C254">
        <v>9990005234</v>
      </c>
      <c r="D254" s="2">
        <v>44620</v>
      </c>
      <c r="E254" t="s">
        <v>4</v>
      </c>
      <c r="F254" t="s">
        <v>1429</v>
      </c>
      <c r="G254" t="s">
        <v>1430</v>
      </c>
      <c r="H254" t="s">
        <v>1414</v>
      </c>
      <c r="J254" s="3" t="s">
        <v>4</v>
      </c>
      <c r="K254" s="2">
        <v>44985</v>
      </c>
      <c r="L254" s="4">
        <v>-8379.89</v>
      </c>
      <c r="M254" t="s">
        <v>5</v>
      </c>
      <c r="N254" s="4">
        <v>-8379.89</v>
      </c>
      <c r="O254" t="s">
        <v>4</v>
      </c>
      <c r="P254" s="4">
        <v>0</v>
      </c>
      <c r="Q254" s="5">
        <v>-243</v>
      </c>
      <c r="R254" t="s">
        <v>4</v>
      </c>
      <c r="S254" t="s">
        <v>4</v>
      </c>
      <c r="T254" t="s">
        <v>1431</v>
      </c>
      <c r="U254" t="s">
        <v>1432</v>
      </c>
      <c r="V254" s="2">
        <v>44743</v>
      </c>
      <c r="W254" t="s">
        <v>10</v>
      </c>
    </row>
    <row r="255" spans="1:23" ht="14.1" customHeight="1" outlineLevel="2" x14ac:dyDescent="0.25">
      <c r="A255" t="str">
        <f t="shared" si="3"/>
        <v>9990005281ALLIED TECNOLOGIA S.A.8927</v>
      </c>
      <c r="B255" t="s">
        <v>2184</v>
      </c>
      <c r="C255">
        <v>9990005281</v>
      </c>
      <c r="D255" s="2">
        <v>44692</v>
      </c>
      <c r="E255" t="s">
        <v>0</v>
      </c>
      <c r="F255" t="s">
        <v>1</v>
      </c>
      <c r="G255" t="s">
        <v>1433</v>
      </c>
      <c r="H255" t="s">
        <v>277</v>
      </c>
      <c r="J255" s="3" t="s">
        <v>4</v>
      </c>
      <c r="K255" s="2">
        <v>44752</v>
      </c>
      <c r="L255" s="4">
        <v>8927</v>
      </c>
      <c r="M255" t="s">
        <v>5</v>
      </c>
      <c r="N255" s="4">
        <v>8927</v>
      </c>
      <c r="O255" t="s">
        <v>1434</v>
      </c>
      <c r="P255" s="4">
        <v>8101.25</v>
      </c>
      <c r="Q255" s="5">
        <v>-10</v>
      </c>
      <c r="R255" t="s">
        <v>1435</v>
      </c>
      <c r="S255" t="s">
        <v>1436</v>
      </c>
      <c r="T255" t="s">
        <v>4</v>
      </c>
      <c r="U255" t="s">
        <v>1437</v>
      </c>
      <c r="V255" s="2">
        <v>44743</v>
      </c>
      <c r="W255" t="s">
        <v>10</v>
      </c>
    </row>
    <row r="256" spans="1:23" ht="14.1" customHeight="1" outlineLevel="2" x14ac:dyDescent="0.25">
      <c r="A256" t="str">
        <f t="shared" si="3"/>
        <v>9990005281ALLIED TECNOLOGIA S.A.49989,57</v>
      </c>
      <c r="B256" t="s">
        <v>2185</v>
      </c>
      <c r="C256">
        <v>9990005281</v>
      </c>
      <c r="D256" s="2">
        <v>44722</v>
      </c>
      <c r="E256" t="s">
        <v>0</v>
      </c>
      <c r="F256" t="s">
        <v>1</v>
      </c>
      <c r="G256" t="s">
        <v>1438</v>
      </c>
      <c r="H256" t="s">
        <v>277</v>
      </c>
      <c r="J256" s="3" t="s">
        <v>4</v>
      </c>
      <c r="K256" s="2">
        <v>44782</v>
      </c>
      <c r="L256" s="4">
        <v>49989.57</v>
      </c>
      <c r="M256" t="s">
        <v>5</v>
      </c>
      <c r="N256" s="4">
        <v>49989.57</v>
      </c>
      <c r="O256" t="s">
        <v>1439</v>
      </c>
      <c r="P256" s="4">
        <v>45365.53</v>
      </c>
      <c r="Q256" s="5">
        <v>-40</v>
      </c>
      <c r="R256" t="s">
        <v>1440</v>
      </c>
      <c r="S256" t="s">
        <v>1441</v>
      </c>
      <c r="T256" t="s">
        <v>4</v>
      </c>
      <c r="U256" t="s">
        <v>1442</v>
      </c>
      <c r="V256" s="2">
        <v>44743</v>
      </c>
      <c r="W256" t="s">
        <v>10</v>
      </c>
    </row>
    <row r="257" spans="1:23" ht="14.1" customHeight="1" outlineLevel="2" x14ac:dyDescent="0.25">
      <c r="A257" t="str">
        <f t="shared" si="3"/>
        <v>9990005281ALLIED TECNOLOGIA S.A.41073</v>
      </c>
      <c r="B257" t="s">
        <v>2186</v>
      </c>
      <c r="C257">
        <v>9990005281</v>
      </c>
      <c r="D257" s="2">
        <v>44722</v>
      </c>
      <c r="E257" t="s">
        <v>0</v>
      </c>
      <c r="F257" t="s">
        <v>1</v>
      </c>
      <c r="G257" t="s">
        <v>1443</v>
      </c>
      <c r="H257" t="s">
        <v>277</v>
      </c>
      <c r="J257" s="3" t="s">
        <v>4</v>
      </c>
      <c r="K257" s="2">
        <v>44782</v>
      </c>
      <c r="L257" s="4">
        <v>41073</v>
      </c>
      <c r="M257" t="s">
        <v>5</v>
      </c>
      <c r="N257" s="4">
        <v>41073</v>
      </c>
      <c r="O257" t="s">
        <v>1444</v>
      </c>
      <c r="P257" s="4">
        <v>37273.75</v>
      </c>
      <c r="Q257" s="5">
        <v>-40</v>
      </c>
      <c r="R257" t="s">
        <v>1445</v>
      </c>
      <c r="S257" t="s">
        <v>1446</v>
      </c>
      <c r="T257" t="s">
        <v>4</v>
      </c>
      <c r="U257" t="s">
        <v>1447</v>
      </c>
      <c r="V257" s="2">
        <v>44743</v>
      </c>
      <c r="W257" t="s">
        <v>10</v>
      </c>
    </row>
    <row r="258" spans="1:23" ht="14.1" customHeight="1" outlineLevel="2" x14ac:dyDescent="0.25">
      <c r="A258" t="str">
        <f t="shared" si="3"/>
        <v>9990005282COMERCIO DE COMESTICOS PAIXAO PELA8600</v>
      </c>
      <c r="B258" t="s">
        <v>2187</v>
      </c>
      <c r="C258">
        <v>9990005282</v>
      </c>
      <c r="D258" s="2">
        <v>44722</v>
      </c>
      <c r="E258" t="s">
        <v>0</v>
      </c>
      <c r="F258" t="s">
        <v>1</v>
      </c>
      <c r="G258" t="s">
        <v>1448</v>
      </c>
      <c r="H258" t="s">
        <v>283</v>
      </c>
      <c r="J258" s="3" t="s">
        <v>4</v>
      </c>
      <c r="K258" s="2">
        <v>44752</v>
      </c>
      <c r="L258" s="4">
        <v>8600</v>
      </c>
      <c r="M258" t="s">
        <v>5</v>
      </c>
      <c r="N258" s="4">
        <v>8600</v>
      </c>
      <c r="O258" t="s">
        <v>1449</v>
      </c>
      <c r="P258" s="4">
        <v>7804.5</v>
      </c>
      <c r="Q258" s="5">
        <v>-10</v>
      </c>
      <c r="R258" t="s">
        <v>1450</v>
      </c>
      <c r="S258" t="s">
        <v>1451</v>
      </c>
      <c r="T258" t="s">
        <v>4</v>
      </c>
      <c r="U258" t="s">
        <v>1452</v>
      </c>
      <c r="V258" s="2">
        <v>44743</v>
      </c>
      <c r="W258" t="s">
        <v>10</v>
      </c>
    </row>
    <row r="259" spans="1:23" ht="14.1" customHeight="1" outlineLevel="2" x14ac:dyDescent="0.25">
      <c r="A259" t="str">
        <f t="shared" ref="A259:A322" si="4">+C259&amp;H259&amp;L259</f>
        <v>9990005292ESSITY DO BRASIL INDUSTRIA E COMÉRC1094</v>
      </c>
      <c r="B259" t="s">
        <v>2188</v>
      </c>
      <c r="C259">
        <v>9990005292</v>
      </c>
      <c r="D259" s="2">
        <v>44722</v>
      </c>
      <c r="E259" t="s">
        <v>0</v>
      </c>
      <c r="F259" t="s">
        <v>1</v>
      </c>
      <c r="G259" t="s">
        <v>1453</v>
      </c>
      <c r="H259" t="s">
        <v>1454</v>
      </c>
      <c r="J259" s="3" t="s">
        <v>4</v>
      </c>
      <c r="K259" s="2">
        <v>44755</v>
      </c>
      <c r="L259" s="4">
        <v>1094</v>
      </c>
      <c r="M259" t="s">
        <v>5</v>
      </c>
      <c r="N259" s="4">
        <v>1094</v>
      </c>
      <c r="O259" t="s">
        <v>1455</v>
      </c>
      <c r="P259" s="4">
        <v>992.81</v>
      </c>
      <c r="Q259" s="5">
        <v>-13</v>
      </c>
      <c r="R259" t="s">
        <v>1456</v>
      </c>
      <c r="S259" t="s">
        <v>1457</v>
      </c>
      <c r="T259" t="s">
        <v>26</v>
      </c>
      <c r="U259" t="s">
        <v>1458</v>
      </c>
      <c r="V259" s="2">
        <v>44743</v>
      </c>
      <c r="W259" t="s">
        <v>10</v>
      </c>
    </row>
    <row r="260" spans="1:23" ht="14.1" customHeight="1" outlineLevel="2" x14ac:dyDescent="0.25">
      <c r="A260" t="str">
        <f t="shared" si="4"/>
        <v>9990005292ESSITY DO BRASIL INDUSTRIA E COMÉRC4865</v>
      </c>
      <c r="B260" t="s">
        <v>2189</v>
      </c>
      <c r="C260">
        <v>9990005292</v>
      </c>
      <c r="D260" s="2">
        <v>44722</v>
      </c>
      <c r="E260" t="s">
        <v>0</v>
      </c>
      <c r="F260" t="s">
        <v>1</v>
      </c>
      <c r="G260" t="s">
        <v>1459</v>
      </c>
      <c r="H260" t="s">
        <v>1454</v>
      </c>
      <c r="J260" s="3" t="s">
        <v>4</v>
      </c>
      <c r="K260" s="2">
        <v>44755</v>
      </c>
      <c r="L260" s="4">
        <v>4865</v>
      </c>
      <c r="M260" t="s">
        <v>5</v>
      </c>
      <c r="N260" s="4">
        <v>4865</v>
      </c>
      <c r="O260" t="s">
        <v>1460</v>
      </c>
      <c r="P260" s="4">
        <v>4414.99</v>
      </c>
      <c r="Q260" s="5">
        <v>-13</v>
      </c>
      <c r="R260" t="s">
        <v>1461</v>
      </c>
      <c r="S260" t="s">
        <v>1462</v>
      </c>
      <c r="T260" t="s">
        <v>4</v>
      </c>
      <c r="U260" t="s">
        <v>1463</v>
      </c>
      <c r="V260" s="2">
        <v>44743</v>
      </c>
      <c r="W260" t="s">
        <v>10</v>
      </c>
    </row>
    <row r="261" spans="1:23" ht="14.1" customHeight="1" outlineLevel="2" x14ac:dyDescent="0.25">
      <c r="A261" t="str">
        <f t="shared" si="4"/>
        <v>9990005292ESSITY DO BRASIL INDUSTRIA E COMÉRC1467</v>
      </c>
      <c r="B261" t="s">
        <v>2190</v>
      </c>
      <c r="C261">
        <v>9990005292</v>
      </c>
      <c r="D261" s="2">
        <v>44722</v>
      </c>
      <c r="E261" t="s">
        <v>0</v>
      </c>
      <c r="F261" t="s">
        <v>1</v>
      </c>
      <c r="G261" t="s">
        <v>1464</v>
      </c>
      <c r="H261" t="s">
        <v>1454</v>
      </c>
      <c r="J261" s="3" t="s">
        <v>4</v>
      </c>
      <c r="K261" s="2">
        <v>44755</v>
      </c>
      <c r="L261" s="4">
        <v>1467</v>
      </c>
      <c r="M261" t="s">
        <v>5</v>
      </c>
      <c r="N261" s="4">
        <v>1467</v>
      </c>
      <c r="O261" t="s">
        <v>1465</v>
      </c>
      <c r="P261" s="4">
        <v>1331.3</v>
      </c>
      <c r="Q261" s="5">
        <v>-13</v>
      </c>
      <c r="R261" t="s">
        <v>1466</v>
      </c>
      <c r="S261" t="s">
        <v>1467</v>
      </c>
      <c r="T261" t="s">
        <v>4</v>
      </c>
      <c r="U261" t="s">
        <v>1468</v>
      </c>
      <c r="V261" s="2">
        <v>44743</v>
      </c>
      <c r="W261" t="s">
        <v>10</v>
      </c>
    </row>
    <row r="262" spans="1:23" ht="14.1" customHeight="1" outlineLevel="2" x14ac:dyDescent="0.25">
      <c r="A262" t="str">
        <f t="shared" si="4"/>
        <v>9990005358COLGATE-PALMOLIVE COMERCIAL LTDA60000</v>
      </c>
      <c r="B262" t="s">
        <v>2191</v>
      </c>
      <c r="C262">
        <v>9990005358</v>
      </c>
      <c r="D262" s="2">
        <v>44722</v>
      </c>
      <c r="E262" t="s">
        <v>0</v>
      </c>
      <c r="F262" t="s">
        <v>1</v>
      </c>
      <c r="G262" t="s">
        <v>1469</v>
      </c>
      <c r="H262" t="s">
        <v>1470</v>
      </c>
      <c r="J262" s="3" t="s">
        <v>4</v>
      </c>
      <c r="K262" s="2">
        <v>44752</v>
      </c>
      <c r="L262" s="4">
        <v>60000</v>
      </c>
      <c r="M262" t="s">
        <v>5</v>
      </c>
      <c r="N262" s="4">
        <v>60000</v>
      </c>
      <c r="O262" t="s">
        <v>1471</v>
      </c>
      <c r="P262" s="4">
        <v>54450</v>
      </c>
      <c r="Q262" s="5">
        <v>-10</v>
      </c>
      <c r="R262" t="s">
        <v>1472</v>
      </c>
      <c r="S262" t="s">
        <v>1473</v>
      </c>
      <c r="T262" t="s">
        <v>4</v>
      </c>
      <c r="U262" t="s">
        <v>1474</v>
      </c>
      <c r="V262" s="2">
        <v>44743</v>
      </c>
      <c r="W262" t="s">
        <v>10</v>
      </c>
    </row>
    <row r="263" spans="1:23" ht="14.1" customHeight="1" outlineLevel="2" x14ac:dyDescent="0.25">
      <c r="A263" t="str">
        <f t="shared" si="4"/>
        <v>9990005484MAXMIX COMERCIAL LTDA20000</v>
      </c>
      <c r="B263" t="s">
        <v>2192</v>
      </c>
      <c r="C263">
        <v>9990005484</v>
      </c>
      <c r="D263" s="2">
        <v>44722</v>
      </c>
      <c r="E263" t="s">
        <v>0</v>
      </c>
      <c r="F263" t="s">
        <v>1</v>
      </c>
      <c r="G263" t="s">
        <v>1475</v>
      </c>
      <c r="H263" t="s">
        <v>1476</v>
      </c>
      <c r="J263" s="3" t="s">
        <v>4</v>
      </c>
      <c r="K263" s="2">
        <v>44752</v>
      </c>
      <c r="L263" s="4">
        <v>20000</v>
      </c>
      <c r="M263" t="s">
        <v>5</v>
      </c>
      <c r="N263" s="4">
        <v>20000</v>
      </c>
      <c r="O263" t="s">
        <v>1477</v>
      </c>
      <c r="P263" s="4">
        <v>18150</v>
      </c>
      <c r="Q263" s="5">
        <v>-10</v>
      </c>
      <c r="R263" t="s">
        <v>1478</v>
      </c>
      <c r="S263" t="s">
        <v>1479</v>
      </c>
      <c r="T263" t="s">
        <v>4</v>
      </c>
      <c r="U263" t="s">
        <v>1480</v>
      </c>
      <c r="V263" s="2">
        <v>44743</v>
      </c>
      <c r="W263" t="s">
        <v>10</v>
      </c>
    </row>
    <row r="264" spans="1:23" ht="14.1" customHeight="1" outlineLevel="2" x14ac:dyDescent="0.25">
      <c r="A264" t="str">
        <f t="shared" si="4"/>
        <v>9990005566MADEIRAMADEIRA COMERCIO ELETRONICO15000</v>
      </c>
      <c r="B264" t="s">
        <v>2193</v>
      </c>
      <c r="C264">
        <v>9990005566</v>
      </c>
      <c r="D264" s="2">
        <v>44722</v>
      </c>
      <c r="E264" t="s">
        <v>0</v>
      </c>
      <c r="F264" t="s">
        <v>1</v>
      </c>
      <c r="G264" t="s">
        <v>1481</v>
      </c>
      <c r="H264" t="s">
        <v>1482</v>
      </c>
      <c r="J264" s="3" t="s">
        <v>4</v>
      </c>
      <c r="K264" s="2">
        <v>44752</v>
      </c>
      <c r="L264" s="4">
        <v>15000</v>
      </c>
      <c r="M264" t="s">
        <v>5</v>
      </c>
      <c r="N264" s="4">
        <v>15000</v>
      </c>
      <c r="O264" t="s">
        <v>1483</v>
      </c>
      <c r="P264" s="4">
        <v>13612.5</v>
      </c>
      <c r="Q264" s="5">
        <v>-10</v>
      </c>
      <c r="R264" t="s">
        <v>1484</v>
      </c>
      <c r="S264" t="s">
        <v>1485</v>
      </c>
      <c r="T264" t="s">
        <v>26</v>
      </c>
      <c r="U264" t="s">
        <v>1486</v>
      </c>
      <c r="V264" s="2">
        <v>44743</v>
      </c>
      <c r="W264" t="s">
        <v>10</v>
      </c>
    </row>
    <row r="265" spans="1:23" ht="14.1" customHeight="1" outlineLevel="2" x14ac:dyDescent="0.25">
      <c r="A265" t="str">
        <f t="shared" si="4"/>
        <v>9990005566MADEIRAMADEIRA COMERCIO ELETRONICO15000</v>
      </c>
      <c r="B265" t="s">
        <v>2193</v>
      </c>
      <c r="C265">
        <v>9990005566</v>
      </c>
      <c r="D265" s="2">
        <v>44692</v>
      </c>
      <c r="E265" t="s">
        <v>0</v>
      </c>
      <c r="F265" t="s">
        <v>1</v>
      </c>
      <c r="G265" t="s">
        <v>1487</v>
      </c>
      <c r="H265" t="s">
        <v>1482</v>
      </c>
      <c r="J265" s="3" t="s">
        <v>4</v>
      </c>
      <c r="K265" s="2">
        <v>44767</v>
      </c>
      <c r="L265" s="4">
        <v>15000</v>
      </c>
      <c r="M265" t="s">
        <v>5</v>
      </c>
      <c r="N265" s="4">
        <v>15000</v>
      </c>
      <c r="O265" t="s">
        <v>1488</v>
      </c>
      <c r="P265" s="4">
        <v>13612.5</v>
      </c>
      <c r="Q265" s="5">
        <v>-25</v>
      </c>
      <c r="R265" t="s">
        <v>1489</v>
      </c>
      <c r="S265" t="s">
        <v>1490</v>
      </c>
      <c r="T265" t="s">
        <v>26</v>
      </c>
      <c r="U265" t="s">
        <v>1491</v>
      </c>
      <c r="V265" s="2">
        <v>44743</v>
      </c>
      <c r="W265" t="s">
        <v>10</v>
      </c>
    </row>
    <row r="266" spans="1:23" ht="14.1" customHeight="1" outlineLevel="2" x14ac:dyDescent="0.25">
      <c r="A266" t="str">
        <f t="shared" si="4"/>
        <v>9990005570Kimberly Clark Brasil Ind. e Com25000</v>
      </c>
      <c r="B266" t="s">
        <v>2194</v>
      </c>
      <c r="C266">
        <v>9990005570</v>
      </c>
      <c r="D266" s="2">
        <v>44722</v>
      </c>
      <c r="E266" t="s">
        <v>0</v>
      </c>
      <c r="F266" t="s">
        <v>1</v>
      </c>
      <c r="G266" t="s">
        <v>1492</v>
      </c>
      <c r="H266" t="s">
        <v>318</v>
      </c>
      <c r="J266" s="3" t="s">
        <v>4</v>
      </c>
      <c r="K266" s="2">
        <v>44752</v>
      </c>
      <c r="L266" s="4">
        <v>25000</v>
      </c>
      <c r="M266" t="s">
        <v>5</v>
      </c>
      <c r="N266" s="4">
        <v>25000</v>
      </c>
      <c r="O266" t="s">
        <v>1493</v>
      </c>
      <c r="P266" s="4">
        <v>22687.5</v>
      </c>
      <c r="Q266" s="5">
        <v>-10</v>
      </c>
      <c r="R266" t="s">
        <v>1494</v>
      </c>
      <c r="S266" t="s">
        <v>1495</v>
      </c>
      <c r="T266" t="s">
        <v>4</v>
      </c>
      <c r="U266" t="s">
        <v>1496</v>
      </c>
      <c r="V266" s="2">
        <v>44743</v>
      </c>
      <c r="W266" t="s">
        <v>10</v>
      </c>
    </row>
    <row r="267" spans="1:23" ht="14.1" customHeight="1" outlineLevel="2" x14ac:dyDescent="0.25">
      <c r="A267" t="str">
        <f t="shared" si="4"/>
        <v>9990005571RECKITT BENCKISER HEALTH13500</v>
      </c>
      <c r="B267" t="s">
        <v>2195</v>
      </c>
      <c r="C267">
        <v>9990005571</v>
      </c>
      <c r="D267" s="2">
        <v>44663</v>
      </c>
      <c r="E267" t="s">
        <v>0</v>
      </c>
      <c r="F267" t="s">
        <v>1</v>
      </c>
      <c r="G267" t="s">
        <v>1497</v>
      </c>
      <c r="H267" t="s">
        <v>1498</v>
      </c>
      <c r="J267" s="3" t="s">
        <v>4</v>
      </c>
      <c r="K267" s="2">
        <v>44773</v>
      </c>
      <c r="L267" s="4">
        <v>13500</v>
      </c>
      <c r="M267" t="s">
        <v>5</v>
      </c>
      <c r="N267" s="4">
        <v>13500</v>
      </c>
      <c r="O267" t="s">
        <v>1499</v>
      </c>
      <c r="P267" s="4">
        <v>12251.25</v>
      </c>
      <c r="Q267" s="5">
        <v>-31</v>
      </c>
      <c r="R267" t="s">
        <v>1500</v>
      </c>
      <c r="S267" t="s">
        <v>1501</v>
      </c>
      <c r="T267" t="s">
        <v>4</v>
      </c>
      <c r="U267" t="s">
        <v>1502</v>
      </c>
      <c r="V267" s="2">
        <v>44743</v>
      </c>
      <c r="W267" t="s">
        <v>10</v>
      </c>
    </row>
    <row r="268" spans="1:23" ht="14.1" customHeight="1" outlineLevel="2" x14ac:dyDescent="0.25">
      <c r="A268" t="str">
        <f t="shared" si="4"/>
        <v>9990005571RECKITT BENCKISER HEALTH10062</v>
      </c>
      <c r="B268" t="s">
        <v>2196</v>
      </c>
      <c r="C268">
        <v>9990005571</v>
      </c>
      <c r="D268" s="2">
        <v>44692</v>
      </c>
      <c r="E268" t="s">
        <v>0</v>
      </c>
      <c r="F268" t="s">
        <v>1</v>
      </c>
      <c r="G268" t="s">
        <v>1503</v>
      </c>
      <c r="H268" t="s">
        <v>1498</v>
      </c>
      <c r="J268" s="3" t="s">
        <v>4</v>
      </c>
      <c r="K268" s="2">
        <v>44752</v>
      </c>
      <c r="L268" s="4">
        <v>10062</v>
      </c>
      <c r="M268" t="s">
        <v>5</v>
      </c>
      <c r="N268" s="4">
        <v>10062</v>
      </c>
      <c r="O268" t="s">
        <v>1504</v>
      </c>
      <c r="P268" s="4">
        <v>9131.27</v>
      </c>
      <c r="Q268" s="5">
        <v>-10</v>
      </c>
      <c r="R268" t="s">
        <v>1505</v>
      </c>
      <c r="S268" t="s">
        <v>1506</v>
      </c>
      <c r="T268" t="s">
        <v>4</v>
      </c>
      <c r="U268" t="s">
        <v>1507</v>
      </c>
      <c r="V268" s="2">
        <v>44743</v>
      </c>
      <c r="W268" t="s">
        <v>10</v>
      </c>
    </row>
    <row r="269" spans="1:23" ht="14.1" customHeight="1" outlineLevel="2" x14ac:dyDescent="0.25">
      <c r="A269" t="str">
        <f t="shared" si="4"/>
        <v>9990005571RECKITT BENCKISER HEALTH10000</v>
      </c>
      <c r="B269" t="s">
        <v>2197</v>
      </c>
      <c r="C269">
        <v>9990005571</v>
      </c>
      <c r="D269" s="2">
        <v>44722</v>
      </c>
      <c r="E269" t="s">
        <v>0</v>
      </c>
      <c r="F269" t="s">
        <v>1</v>
      </c>
      <c r="G269" t="s">
        <v>1508</v>
      </c>
      <c r="H269" t="s">
        <v>1498</v>
      </c>
      <c r="J269" s="3" t="s">
        <v>4</v>
      </c>
      <c r="K269" s="2">
        <v>44782</v>
      </c>
      <c r="L269" s="4">
        <v>10000</v>
      </c>
      <c r="M269" t="s">
        <v>5</v>
      </c>
      <c r="N269" s="4">
        <v>10000</v>
      </c>
      <c r="O269" t="s">
        <v>1509</v>
      </c>
      <c r="P269" s="4">
        <v>9075</v>
      </c>
      <c r="Q269" s="5">
        <v>-40</v>
      </c>
      <c r="R269" t="s">
        <v>1510</v>
      </c>
      <c r="S269" t="s">
        <v>1511</v>
      </c>
      <c r="T269" t="s">
        <v>4</v>
      </c>
      <c r="U269" t="s">
        <v>1512</v>
      </c>
      <c r="V269" s="2">
        <v>44743</v>
      </c>
      <c r="W269" t="s">
        <v>10</v>
      </c>
    </row>
    <row r="270" spans="1:23" ht="14.1" customHeight="1" outlineLevel="2" x14ac:dyDescent="0.25">
      <c r="A270" t="str">
        <f t="shared" si="4"/>
        <v>9990005584HNK BR INDUSTRIA DE BEBIDAS LTDA.95000</v>
      </c>
      <c r="B270" t="s">
        <v>2198</v>
      </c>
      <c r="C270">
        <v>9990005584</v>
      </c>
      <c r="D270" s="2">
        <v>44722</v>
      </c>
      <c r="E270" t="s">
        <v>0</v>
      </c>
      <c r="F270" t="s">
        <v>1</v>
      </c>
      <c r="G270" t="s">
        <v>1513</v>
      </c>
      <c r="H270" t="s">
        <v>351</v>
      </c>
      <c r="J270" s="3" t="s">
        <v>4</v>
      </c>
      <c r="K270" s="2">
        <v>44752</v>
      </c>
      <c r="L270" s="4">
        <v>95000</v>
      </c>
      <c r="M270" t="s">
        <v>5</v>
      </c>
      <c r="N270" s="4">
        <v>95000</v>
      </c>
      <c r="O270" t="s">
        <v>1514</v>
      </c>
      <c r="P270" s="4">
        <v>86212.5</v>
      </c>
      <c r="Q270" s="5">
        <v>-10</v>
      </c>
      <c r="R270" t="s">
        <v>1515</v>
      </c>
      <c r="S270" t="s">
        <v>1516</v>
      </c>
      <c r="T270" t="s">
        <v>1517</v>
      </c>
      <c r="U270" t="s">
        <v>1518</v>
      </c>
      <c r="V270" s="2">
        <v>44743</v>
      </c>
      <c r="W270" t="s">
        <v>10</v>
      </c>
    </row>
    <row r="271" spans="1:23" ht="14.1" customHeight="1" outlineLevel="2" x14ac:dyDescent="0.25">
      <c r="A271" t="str">
        <f t="shared" si="4"/>
        <v>9990005587DANONE LTDA18370,48</v>
      </c>
      <c r="B271" t="s">
        <v>2199</v>
      </c>
      <c r="C271">
        <v>9990005587</v>
      </c>
      <c r="D271" s="2">
        <v>44722</v>
      </c>
      <c r="E271" t="s">
        <v>0</v>
      </c>
      <c r="F271" t="s">
        <v>1</v>
      </c>
      <c r="G271" t="s">
        <v>1519</v>
      </c>
      <c r="H271" t="s">
        <v>354</v>
      </c>
      <c r="J271" s="3" t="s">
        <v>4</v>
      </c>
      <c r="K271" s="2">
        <v>44752</v>
      </c>
      <c r="L271" s="4">
        <v>18370.48</v>
      </c>
      <c r="M271" t="s">
        <v>5</v>
      </c>
      <c r="N271" s="4">
        <v>18370.48</v>
      </c>
      <c r="O271" t="s">
        <v>1520</v>
      </c>
      <c r="P271" s="4">
        <v>16671.22</v>
      </c>
      <c r="Q271" s="5">
        <v>-10</v>
      </c>
      <c r="R271" t="s">
        <v>1521</v>
      </c>
      <c r="S271" t="s">
        <v>1522</v>
      </c>
      <c r="T271" t="s">
        <v>4</v>
      </c>
      <c r="U271" t="s">
        <v>1523</v>
      </c>
      <c r="V271" s="2">
        <v>44743</v>
      </c>
      <c r="W271" t="s">
        <v>10</v>
      </c>
    </row>
    <row r="272" spans="1:23" ht="14.1" customHeight="1" outlineLevel="2" x14ac:dyDescent="0.25">
      <c r="A272" t="str">
        <f t="shared" si="4"/>
        <v>9990005616Moveis Carraro Ltda35000</v>
      </c>
      <c r="B272" t="s">
        <v>2200</v>
      </c>
      <c r="C272">
        <v>9990005616</v>
      </c>
      <c r="D272" s="2">
        <v>44722</v>
      </c>
      <c r="E272" t="s">
        <v>0</v>
      </c>
      <c r="F272" t="s">
        <v>1</v>
      </c>
      <c r="G272" t="s">
        <v>1524</v>
      </c>
      <c r="H272" t="s">
        <v>1525</v>
      </c>
      <c r="J272" s="3" t="s">
        <v>4</v>
      </c>
      <c r="K272" s="2">
        <v>44752</v>
      </c>
      <c r="L272" s="4">
        <v>35000</v>
      </c>
      <c r="M272" t="s">
        <v>5</v>
      </c>
      <c r="N272" s="4">
        <v>35000</v>
      </c>
      <c r="O272" t="s">
        <v>1526</v>
      </c>
      <c r="P272" s="4">
        <v>31762.5</v>
      </c>
      <c r="Q272" s="5">
        <v>-10</v>
      </c>
      <c r="R272" t="s">
        <v>1527</v>
      </c>
      <c r="S272" t="s">
        <v>1528</v>
      </c>
      <c r="T272" t="s">
        <v>4</v>
      </c>
      <c r="U272" t="s">
        <v>1529</v>
      </c>
      <c r="V272" s="2">
        <v>44743</v>
      </c>
      <c r="W272" t="s">
        <v>10</v>
      </c>
    </row>
    <row r="273" spans="1:23" ht="14.1" customHeight="1" outlineLevel="2" x14ac:dyDescent="0.25">
      <c r="A273" t="str">
        <f t="shared" si="4"/>
        <v>9990005640BDF NIVEA LTDA20000</v>
      </c>
      <c r="B273" t="s">
        <v>2201</v>
      </c>
      <c r="C273">
        <v>9990005640</v>
      </c>
      <c r="D273" s="2">
        <v>44692</v>
      </c>
      <c r="E273" t="s">
        <v>0</v>
      </c>
      <c r="F273" t="s">
        <v>1</v>
      </c>
      <c r="G273" t="s">
        <v>1530</v>
      </c>
      <c r="H273" t="s">
        <v>363</v>
      </c>
      <c r="J273" s="3" t="s">
        <v>4</v>
      </c>
      <c r="K273" s="2">
        <v>44752</v>
      </c>
      <c r="L273" s="4">
        <v>20000</v>
      </c>
      <c r="M273" t="s">
        <v>5</v>
      </c>
      <c r="N273" s="4">
        <v>20000</v>
      </c>
      <c r="O273" t="s">
        <v>1531</v>
      </c>
      <c r="P273" s="4">
        <v>18150</v>
      </c>
      <c r="Q273" s="5">
        <v>-10</v>
      </c>
      <c r="R273" t="s">
        <v>1532</v>
      </c>
      <c r="S273" t="s">
        <v>1533</v>
      </c>
      <c r="T273" t="s">
        <v>223</v>
      </c>
      <c r="U273" t="s">
        <v>1534</v>
      </c>
      <c r="V273" s="2">
        <v>44743</v>
      </c>
      <c r="W273" t="s">
        <v>10</v>
      </c>
    </row>
    <row r="274" spans="1:23" ht="14.1" customHeight="1" outlineLevel="2" x14ac:dyDescent="0.25">
      <c r="A274" t="str">
        <f t="shared" si="4"/>
        <v>9990005640BDF NIVEA LTDA168904</v>
      </c>
      <c r="B274" t="s">
        <v>2202</v>
      </c>
      <c r="C274">
        <v>9990005640</v>
      </c>
      <c r="D274" s="2">
        <v>44722</v>
      </c>
      <c r="E274" t="s">
        <v>0</v>
      </c>
      <c r="F274" t="s">
        <v>1</v>
      </c>
      <c r="G274" t="s">
        <v>1535</v>
      </c>
      <c r="H274" t="s">
        <v>363</v>
      </c>
      <c r="J274" s="3" t="s">
        <v>4</v>
      </c>
      <c r="K274" s="2">
        <v>44782</v>
      </c>
      <c r="L274" s="4">
        <v>168904</v>
      </c>
      <c r="M274" t="s">
        <v>5</v>
      </c>
      <c r="N274" s="4">
        <v>168904</v>
      </c>
      <c r="O274" t="s">
        <v>1536</v>
      </c>
      <c r="P274" s="4">
        <v>153280.38</v>
      </c>
      <c r="Q274" s="5">
        <v>-40</v>
      </c>
      <c r="R274" t="s">
        <v>1537</v>
      </c>
      <c r="S274" t="s">
        <v>1538</v>
      </c>
      <c r="T274" t="s">
        <v>4</v>
      </c>
      <c r="U274" t="s">
        <v>1539</v>
      </c>
      <c r="V274" s="2">
        <v>44743</v>
      </c>
      <c r="W274" t="s">
        <v>10</v>
      </c>
    </row>
    <row r="275" spans="1:23" ht="14.1" customHeight="1" outlineLevel="2" x14ac:dyDescent="0.25">
      <c r="A275" t="str">
        <f t="shared" si="4"/>
        <v>9990005640BDF NIVEA LTDA112539</v>
      </c>
      <c r="B275" t="s">
        <v>2203</v>
      </c>
      <c r="C275">
        <v>9990005640</v>
      </c>
      <c r="D275" s="2">
        <v>44692</v>
      </c>
      <c r="E275" t="s">
        <v>0</v>
      </c>
      <c r="F275" t="s">
        <v>1</v>
      </c>
      <c r="G275" t="s">
        <v>1540</v>
      </c>
      <c r="H275" t="s">
        <v>363</v>
      </c>
      <c r="J275" s="3" t="s">
        <v>4</v>
      </c>
      <c r="K275" s="2">
        <v>44752</v>
      </c>
      <c r="L275" s="4">
        <v>112539</v>
      </c>
      <c r="M275" t="s">
        <v>5</v>
      </c>
      <c r="N275" s="4">
        <v>112539</v>
      </c>
      <c r="O275" t="s">
        <v>1541</v>
      </c>
      <c r="P275" s="4">
        <v>102129.15</v>
      </c>
      <c r="Q275" s="5">
        <v>-10</v>
      </c>
      <c r="R275" t="s">
        <v>1542</v>
      </c>
      <c r="S275" t="s">
        <v>1543</v>
      </c>
      <c r="T275" t="s">
        <v>4</v>
      </c>
      <c r="U275" t="s">
        <v>1544</v>
      </c>
      <c r="V275" s="2">
        <v>44743</v>
      </c>
      <c r="W275" t="s">
        <v>10</v>
      </c>
    </row>
    <row r="276" spans="1:23" ht="14.1" customHeight="1" outlineLevel="2" x14ac:dyDescent="0.25">
      <c r="A276" t="str">
        <f t="shared" si="4"/>
        <v>9990005686NESTLE BRASIL TDA7995</v>
      </c>
      <c r="B276" t="s">
        <v>2204</v>
      </c>
      <c r="C276">
        <v>9990005686</v>
      </c>
      <c r="D276" s="2">
        <v>44722</v>
      </c>
      <c r="E276" t="s">
        <v>0</v>
      </c>
      <c r="F276" t="s">
        <v>1</v>
      </c>
      <c r="G276" t="s">
        <v>1545</v>
      </c>
      <c r="H276" t="s">
        <v>376</v>
      </c>
      <c r="J276" s="3" t="s">
        <v>4</v>
      </c>
      <c r="K276" s="2">
        <v>44752</v>
      </c>
      <c r="L276" s="4">
        <v>7995</v>
      </c>
      <c r="M276" t="s">
        <v>5</v>
      </c>
      <c r="N276" s="4">
        <v>7995</v>
      </c>
      <c r="O276" t="s">
        <v>1546</v>
      </c>
      <c r="P276" s="4">
        <v>7255.46</v>
      </c>
      <c r="Q276" s="5">
        <v>-10</v>
      </c>
      <c r="R276" t="s">
        <v>1547</v>
      </c>
      <c r="S276" t="s">
        <v>1548</v>
      </c>
      <c r="T276" t="s">
        <v>415</v>
      </c>
      <c r="U276" t="s">
        <v>1549</v>
      </c>
      <c r="V276" s="2">
        <v>44743</v>
      </c>
      <c r="W276" t="s">
        <v>10</v>
      </c>
    </row>
    <row r="277" spans="1:23" ht="14.1" customHeight="1" outlineLevel="2" x14ac:dyDescent="0.25">
      <c r="A277" t="str">
        <f t="shared" si="4"/>
        <v>9990005686NESTLE BRASIL TDA10000</v>
      </c>
      <c r="B277" t="s">
        <v>2020</v>
      </c>
      <c r="C277">
        <v>9990005686</v>
      </c>
      <c r="D277" s="2">
        <v>44722</v>
      </c>
      <c r="E277" t="s">
        <v>0</v>
      </c>
      <c r="F277" t="s">
        <v>1</v>
      </c>
      <c r="G277" t="s">
        <v>1550</v>
      </c>
      <c r="H277" t="s">
        <v>376</v>
      </c>
      <c r="J277" s="3" t="s">
        <v>4</v>
      </c>
      <c r="K277" s="2">
        <v>44752</v>
      </c>
      <c r="L277" s="4">
        <v>10000</v>
      </c>
      <c r="M277" t="s">
        <v>5</v>
      </c>
      <c r="N277" s="4">
        <v>10000</v>
      </c>
      <c r="O277" t="s">
        <v>1551</v>
      </c>
      <c r="P277" s="4">
        <v>9075</v>
      </c>
      <c r="Q277" s="5">
        <v>-10</v>
      </c>
      <c r="R277" t="s">
        <v>1552</v>
      </c>
      <c r="S277" t="s">
        <v>1553</v>
      </c>
      <c r="T277" t="s">
        <v>4</v>
      </c>
      <c r="U277" t="s">
        <v>1554</v>
      </c>
      <c r="V277" s="2">
        <v>44743</v>
      </c>
      <c r="W277" t="s">
        <v>10</v>
      </c>
    </row>
    <row r="278" spans="1:23" ht="14.1" customHeight="1" outlineLevel="2" x14ac:dyDescent="0.25">
      <c r="A278" t="str">
        <f t="shared" si="4"/>
        <v>9990005686NESTLE BRASIL TDA22436,09</v>
      </c>
      <c r="B278" t="s">
        <v>2205</v>
      </c>
      <c r="C278">
        <v>9990005686</v>
      </c>
      <c r="D278" s="2">
        <v>44722</v>
      </c>
      <c r="E278" t="s">
        <v>0</v>
      </c>
      <c r="F278" t="s">
        <v>1</v>
      </c>
      <c r="G278" t="s">
        <v>1555</v>
      </c>
      <c r="H278" t="s">
        <v>376</v>
      </c>
      <c r="J278" s="3" t="s">
        <v>4</v>
      </c>
      <c r="K278" s="2">
        <v>44752</v>
      </c>
      <c r="L278" s="4">
        <v>22436.09</v>
      </c>
      <c r="M278" t="s">
        <v>5</v>
      </c>
      <c r="N278" s="4">
        <v>22436.09</v>
      </c>
      <c r="O278" t="s">
        <v>1556</v>
      </c>
      <c r="P278" s="4">
        <v>20360.75</v>
      </c>
      <c r="Q278" s="5">
        <v>-10</v>
      </c>
      <c r="R278" t="s">
        <v>1557</v>
      </c>
      <c r="S278" t="s">
        <v>1558</v>
      </c>
      <c r="T278" t="s">
        <v>415</v>
      </c>
      <c r="U278" t="s">
        <v>1559</v>
      </c>
      <c r="V278" s="2">
        <v>44743</v>
      </c>
      <c r="W278" t="s">
        <v>10</v>
      </c>
    </row>
    <row r="279" spans="1:23" ht="14.1" customHeight="1" outlineLevel="2" x14ac:dyDescent="0.25">
      <c r="A279" t="str">
        <f t="shared" si="4"/>
        <v>9990005686NESTLE BRASIL TDA35000</v>
      </c>
      <c r="B279" t="s">
        <v>2206</v>
      </c>
      <c r="C279">
        <v>9990005686</v>
      </c>
      <c r="D279" s="2">
        <v>44722</v>
      </c>
      <c r="E279" t="s">
        <v>0</v>
      </c>
      <c r="F279" t="s">
        <v>1</v>
      </c>
      <c r="G279" t="s">
        <v>1560</v>
      </c>
      <c r="H279" t="s">
        <v>376</v>
      </c>
      <c r="J279" s="3" t="s">
        <v>4</v>
      </c>
      <c r="K279" s="2">
        <v>44752</v>
      </c>
      <c r="L279" s="4">
        <v>35000</v>
      </c>
      <c r="M279" t="s">
        <v>5</v>
      </c>
      <c r="N279" s="4">
        <v>35000</v>
      </c>
      <c r="O279" t="s">
        <v>1561</v>
      </c>
      <c r="P279" s="4">
        <v>31762.5</v>
      </c>
      <c r="Q279" s="5">
        <v>-10</v>
      </c>
      <c r="R279" t="s">
        <v>1562</v>
      </c>
      <c r="S279" t="s">
        <v>1563</v>
      </c>
      <c r="T279" t="s">
        <v>415</v>
      </c>
      <c r="U279" t="s">
        <v>1564</v>
      </c>
      <c r="V279" s="2">
        <v>44743</v>
      </c>
      <c r="W279" t="s">
        <v>10</v>
      </c>
    </row>
    <row r="280" spans="1:23" ht="14.1" customHeight="1" outlineLevel="2" x14ac:dyDescent="0.25">
      <c r="A280" t="str">
        <f t="shared" si="4"/>
        <v>9990005686NESTLE BRASIL TDA147</v>
      </c>
      <c r="B280" t="s">
        <v>2207</v>
      </c>
      <c r="C280">
        <v>9990005686</v>
      </c>
      <c r="D280" s="2">
        <v>44727</v>
      </c>
      <c r="E280" t="s">
        <v>0</v>
      </c>
      <c r="F280" t="s">
        <v>1</v>
      </c>
      <c r="G280" t="s">
        <v>1565</v>
      </c>
      <c r="H280" t="s">
        <v>376</v>
      </c>
      <c r="J280" s="3" t="s">
        <v>4</v>
      </c>
      <c r="K280" s="2">
        <v>44757</v>
      </c>
      <c r="L280" s="4">
        <v>147</v>
      </c>
      <c r="M280" t="s">
        <v>5</v>
      </c>
      <c r="N280" s="4">
        <v>147</v>
      </c>
      <c r="O280" t="s">
        <v>1566</v>
      </c>
      <c r="P280" s="4">
        <v>133.4</v>
      </c>
      <c r="Q280" s="5">
        <v>-15</v>
      </c>
      <c r="R280" t="s">
        <v>1567</v>
      </c>
      <c r="S280" t="s">
        <v>1568</v>
      </c>
      <c r="T280" t="s">
        <v>4</v>
      </c>
      <c r="U280" t="s">
        <v>1569</v>
      </c>
      <c r="V280" s="2">
        <v>44743</v>
      </c>
      <c r="W280" t="s">
        <v>10</v>
      </c>
    </row>
    <row r="281" spans="1:23" ht="14.1" customHeight="1" outlineLevel="2" x14ac:dyDescent="0.25">
      <c r="A281" t="str">
        <f t="shared" si="4"/>
        <v>9990005730JCS BRASIL ELETRODOMESTICOS LTDA2272</v>
      </c>
      <c r="B281" t="s">
        <v>2208</v>
      </c>
      <c r="C281">
        <v>9990005730</v>
      </c>
      <c r="D281" s="2">
        <v>44722</v>
      </c>
      <c r="E281" t="s">
        <v>0</v>
      </c>
      <c r="F281" t="s">
        <v>1</v>
      </c>
      <c r="G281" t="s">
        <v>1570</v>
      </c>
      <c r="H281" t="s">
        <v>1571</v>
      </c>
      <c r="J281" s="3" t="s">
        <v>4</v>
      </c>
      <c r="K281" s="2">
        <v>44752</v>
      </c>
      <c r="L281" s="4">
        <v>2272</v>
      </c>
      <c r="M281" t="s">
        <v>5</v>
      </c>
      <c r="N281" s="4">
        <v>2272</v>
      </c>
      <c r="O281" t="s">
        <v>1572</v>
      </c>
      <c r="P281" s="4">
        <v>2061.84</v>
      </c>
      <c r="Q281" s="5">
        <v>-10</v>
      </c>
      <c r="R281" t="s">
        <v>1573</v>
      </c>
      <c r="S281" t="s">
        <v>1574</v>
      </c>
      <c r="T281" t="s">
        <v>4</v>
      </c>
      <c r="U281" t="s">
        <v>1575</v>
      </c>
      <c r="V281" s="2">
        <v>44743</v>
      </c>
      <c r="W281" t="s">
        <v>10</v>
      </c>
    </row>
    <row r="282" spans="1:23" ht="14.1" customHeight="1" outlineLevel="2" x14ac:dyDescent="0.25">
      <c r="A282" t="str">
        <f t="shared" si="4"/>
        <v>9990005771Sociedade Michelin de Participacoes27000</v>
      </c>
      <c r="B282" t="s">
        <v>2209</v>
      </c>
      <c r="C282">
        <v>9990005771</v>
      </c>
      <c r="D282" s="2">
        <v>44722</v>
      </c>
      <c r="E282" t="s">
        <v>0</v>
      </c>
      <c r="F282" t="s">
        <v>1</v>
      </c>
      <c r="G282" t="s">
        <v>1576</v>
      </c>
      <c r="H282" t="s">
        <v>446</v>
      </c>
      <c r="J282" s="3" t="s">
        <v>4</v>
      </c>
      <c r="K282" s="2">
        <v>44752</v>
      </c>
      <c r="L282" s="4">
        <v>27000</v>
      </c>
      <c r="M282" t="s">
        <v>5</v>
      </c>
      <c r="N282" s="4">
        <v>27000</v>
      </c>
      <c r="O282" t="s">
        <v>1577</v>
      </c>
      <c r="P282" s="4">
        <v>24502.5</v>
      </c>
      <c r="Q282" s="5">
        <v>-10</v>
      </c>
      <c r="R282" t="s">
        <v>1578</v>
      </c>
      <c r="S282" t="s">
        <v>1579</v>
      </c>
      <c r="T282" t="s">
        <v>4</v>
      </c>
      <c r="U282" t="s">
        <v>1580</v>
      </c>
      <c r="V282" s="2">
        <v>44743</v>
      </c>
      <c r="W282" t="s">
        <v>10</v>
      </c>
    </row>
    <row r="283" spans="1:23" ht="14.1" customHeight="1" outlineLevel="2" x14ac:dyDescent="0.25">
      <c r="A283" t="str">
        <f t="shared" si="4"/>
        <v>9990005822CERVEJARIAS KAISER BRASIL S/A75000</v>
      </c>
      <c r="B283" t="s">
        <v>2210</v>
      </c>
      <c r="C283">
        <v>9990005822</v>
      </c>
      <c r="D283" s="2">
        <v>44722</v>
      </c>
      <c r="E283" t="s">
        <v>0</v>
      </c>
      <c r="F283" t="s">
        <v>1</v>
      </c>
      <c r="G283" t="s">
        <v>1581</v>
      </c>
      <c r="H283" t="s">
        <v>470</v>
      </c>
      <c r="J283" s="3" t="s">
        <v>4</v>
      </c>
      <c r="K283" s="2">
        <v>44752</v>
      </c>
      <c r="L283" s="4">
        <v>75000</v>
      </c>
      <c r="M283" t="s">
        <v>5</v>
      </c>
      <c r="N283" s="4">
        <v>75000</v>
      </c>
      <c r="O283" t="s">
        <v>1582</v>
      </c>
      <c r="P283" s="4">
        <v>68062.5</v>
      </c>
      <c r="Q283" s="5">
        <v>-10</v>
      </c>
      <c r="R283" t="s">
        <v>1583</v>
      </c>
      <c r="S283" t="s">
        <v>1584</v>
      </c>
      <c r="T283" t="s">
        <v>1585</v>
      </c>
      <c r="U283" t="s">
        <v>1586</v>
      </c>
      <c r="V283" s="2">
        <v>44743</v>
      </c>
      <c r="W283" t="s">
        <v>10</v>
      </c>
    </row>
    <row r="284" spans="1:23" ht="14.1" customHeight="1" outlineLevel="2" x14ac:dyDescent="0.25">
      <c r="A284" t="str">
        <f t="shared" si="4"/>
        <v>9990005822CERVEJARIAS KAISER BRASIL S/A351452,8</v>
      </c>
      <c r="B284" t="s">
        <v>2211</v>
      </c>
      <c r="C284">
        <v>9990005822</v>
      </c>
      <c r="D284" s="2">
        <v>44722</v>
      </c>
      <c r="E284" t="s">
        <v>0</v>
      </c>
      <c r="F284" t="s">
        <v>1</v>
      </c>
      <c r="G284" t="s">
        <v>1587</v>
      </c>
      <c r="H284" t="s">
        <v>470</v>
      </c>
      <c r="J284" s="3" t="s">
        <v>4</v>
      </c>
      <c r="K284" s="2">
        <v>44752</v>
      </c>
      <c r="L284" s="4">
        <v>351452.8</v>
      </c>
      <c r="M284" t="s">
        <v>5</v>
      </c>
      <c r="N284" s="4">
        <v>351452.8</v>
      </c>
      <c r="O284" t="s">
        <v>1588</v>
      </c>
      <c r="P284" s="4">
        <v>318943.42</v>
      </c>
      <c r="Q284" s="5">
        <v>-10</v>
      </c>
      <c r="R284" t="s">
        <v>1589</v>
      </c>
      <c r="S284" t="s">
        <v>1590</v>
      </c>
      <c r="T284" t="s">
        <v>1591</v>
      </c>
      <c r="U284" t="s">
        <v>1592</v>
      </c>
      <c r="V284" s="2">
        <v>44743</v>
      </c>
      <c r="W284" t="s">
        <v>10</v>
      </c>
    </row>
    <row r="285" spans="1:23" ht="14.1" customHeight="1" outlineLevel="2" x14ac:dyDescent="0.25">
      <c r="A285" t="str">
        <f t="shared" si="4"/>
        <v>9990005822CERVEJARIAS KAISER BRASIL S/A237041,2</v>
      </c>
      <c r="B285" t="s">
        <v>2212</v>
      </c>
      <c r="C285">
        <v>9990005822</v>
      </c>
      <c r="D285" s="2">
        <v>44722</v>
      </c>
      <c r="E285" t="s">
        <v>0</v>
      </c>
      <c r="F285" t="s">
        <v>1</v>
      </c>
      <c r="G285" t="s">
        <v>1593</v>
      </c>
      <c r="H285" t="s">
        <v>470</v>
      </c>
      <c r="J285" s="3" t="s">
        <v>4</v>
      </c>
      <c r="K285" s="2">
        <v>44752</v>
      </c>
      <c r="L285" s="4">
        <v>237041.2</v>
      </c>
      <c r="M285" t="s">
        <v>5</v>
      </c>
      <c r="N285" s="4">
        <v>237041.2</v>
      </c>
      <c r="O285" t="s">
        <v>1594</v>
      </c>
      <c r="P285" s="4">
        <v>215114.89</v>
      </c>
      <c r="Q285" s="5">
        <v>-10</v>
      </c>
      <c r="R285" t="s">
        <v>1595</v>
      </c>
      <c r="S285" t="s">
        <v>1596</v>
      </c>
      <c r="T285" t="s">
        <v>1597</v>
      </c>
      <c r="U285" t="s">
        <v>1598</v>
      </c>
      <c r="V285" s="2">
        <v>44743</v>
      </c>
      <c r="W285" t="s">
        <v>10</v>
      </c>
    </row>
    <row r="286" spans="1:23" ht="14.1" customHeight="1" outlineLevel="2" x14ac:dyDescent="0.25">
      <c r="A286" t="str">
        <f t="shared" si="4"/>
        <v>9990005822CERVEJARIAS KAISER BRASIL S/A126141,62</v>
      </c>
      <c r="B286" t="s">
        <v>2213</v>
      </c>
      <c r="C286">
        <v>9990005822</v>
      </c>
      <c r="D286" s="2">
        <v>44722</v>
      </c>
      <c r="E286" t="s">
        <v>0</v>
      </c>
      <c r="F286" t="s">
        <v>1</v>
      </c>
      <c r="G286" t="s">
        <v>1599</v>
      </c>
      <c r="H286" t="s">
        <v>470</v>
      </c>
      <c r="J286" s="3" t="s">
        <v>4</v>
      </c>
      <c r="K286" s="2">
        <v>44752</v>
      </c>
      <c r="L286" s="4">
        <v>126141.62</v>
      </c>
      <c r="M286" t="s">
        <v>5</v>
      </c>
      <c r="N286" s="4">
        <v>126141.62</v>
      </c>
      <c r="O286" t="s">
        <v>1600</v>
      </c>
      <c r="P286" s="4">
        <v>114473.52</v>
      </c>
      <c r="Q286" s="5">
        <v>-10</v>
      </c>
      <c r="R286" t="s">
        <v>1601</v>
      </c>
      <c r="S286" t="s">
        <v>1602</v>
      </c>
      <c r="T286" t="s">
        <v>1603</v>
      </c>
      <c r="U286" t="s">
        <v>1604</v>
      </c>
      <c r="V286" s="2">
        <v>44743</v>
      </c>
      <c r="W286" t="s">
        <v>10</v>
      </c>
    </row>
    <row r="287" spans="1:23" ht="14.1" customHeight="1" outlineLevel="2" x14ac:dyDescent="0.25">
      <c r="A287" t="str">
        <f t="shared" si="4"/>
        <v>9990005822CERVEJARIAS KAISER BRASIL S/A44553,7</v>
      </c>
      <c r="B287" t="s">
        <v>2214</v>
      </c>
      <c r="C287">
        <v>9990005822</v>
      </c>
      <c r="D287" s="2">
        <v>44722</v>
      </c>
      <c r="E287" t="s">
        <v>0</v>
      </c>
      <c r="F287" t="s">
        <v>1</v>
      </c>
      <c r="G287" t="s">
        <v>1605</v>
      </c>
      <c r="H287" t="s">
        <v>470</v>
      </c>
      <c r="J287" s="3" t="s">
        <v>4</v>
      </c>
      <c r="K287" s="2">
        <v>44752</v>
      </c>
      <c r="L287" s="4">
        <v>44553.7</v>
      </c>
      <c r="M287" t="s">
        <v>5</v>
      </c>
      <c r="N287" s="4">
        <v>44553.7</v>
      </c>
      <c r="O287" t="s">
        <v>1606</v>
      </c>
      <c r="P287" s="4">
        <v>40432.480000000003</v>
      </c>
      <c r="Q287" s="5">
        <v>-10</v>
      </c>
      <c r="R287" t="s">
        <v>1607</v>
      </c>
      <c r="S287" t="s">
        <v>1608</v>
      </c>
      <c r="T287" t="s">
        <v>1609</v>
      </c>
      <c r="U287" t="s">
        <v>1610</v>
      </c>
      <c r="V287" s="2">
        <v>44743</v>
      </c>
      <c r="W287" t="s">
        <v>10</v>
      </c>
    </row>
    <row r="288" spans="1:23" ht="14.1" customHeight="1" outlineLevel="2" x14ac:dyDescent="0.25">
      <c r="A288" t="str">
        <f t="shared" si="4"/>
        <v>9990005838Hershey do Brasil Ltda.14060</v>
      </c>
      <c r="B288" t="s">
        <v>2215</v>
      </c>
      <c r="C288">
        <v>9990005838</v>
      </c>
      <c r="D288" s="2">
        <v>44734</v>
      </c>
      <c r="E288" t="s">
        <v>0</v>
      </c>
      <c r="F288" t="s">
        <v>1</v>
      </c>
      <c r="G288" t="s">
        <v>1611</v>
      </c>
      <c r="H288" t="s">
        <v>474</v>
      </c>
      <c r="J288" s="3" t="s">
        <v>4</v>
      </c>
      <c r="K288" s="2">
        <v>44764</v>
      </c>
      <c r="L288" s="4">
        <v>14060</v>
      </c>
      <c r="M288" t="s">
        <v>5</v>
      </c>
      <c r="N288" s="4">
        <v>14060</v>
      </c>
      <c r="O288" t="s">
        <v>1612</v>
      </c>
      <c r="P288" s="4">
        <v>12759.45</v>
      </c>
      <c r="Q288" s="5">
        <v>-22</v>
      </c>
      <c r="R288" t="s">
        <v>1613</v>
      </c>
      <c r="S288" t="s">
        <v>1614</v>
      </c>
      <c r="T288" t="s">
        <v>4</v>
      </c>
      <c r="U288" t="s">
        <v>1615</v>
      </c>
      <c r="V288" s="2">
        <v>44743</v>
      </c>
      <c r="W288" t="s">
        <v>10</v>
      </c>
    </row>
    <row r="289" spans="1:23" ht="14.1" customHeight="1" outlineLevel="2" x14ac:dyDescent="0.25">
      <c r="A289" t="str">
        <f t="shared" si="4"/>
        <v>9990005838Hershey do Brasil Ltda.3238</v>
      </c>
      <c r="B289" t="s">
        <v>2216</v>
      </c>
      <c r="C289">
        <v>9990005838</v>
      </c>
      <c r="D289" s="2">
        <v>44722</v>
      </c>
      <c r="E289" t="s">
        <v>0</v>
      </c>
      <c r="F289" t="s">
        <v>1</v>
      </c>
      <c r="G289" t="s">
        <v>1616</v>
      </c>
      <c r="H289" t="s">
        <v>474</v>
      </c>
      <c r="J289" s="3" t="s">
        <v>4</v>
      </c>
      <c r="K289" s="2">
        <v>44752</v>
      </c>
      <c r="L289" s="4">
        <v>3238</v>
      </c>
      <c r="M289" t="s">
        <v>5</v>
      </c>
      <c r="N289" s="4">
        <v>3238</v>
      </c>
      <c r="O289" t="s">
        <v>1617</v>
      </c>
      <c r="P289" s="4">
        <v>2938.48</v>
      </c>
      <c r="Q289" s="5">
        <v>-10</v>
      </c>
      <c r="R289" t="s">
        <v>1618</v>
      </c>
      <c r="S289" t="s">
        <v>1619</v>
      </c>
      <c r="T289" t="s">
        <v>4</v>
      </c>
      <c r="U289" t="s">
        <v>1620</v>
      </c>
      <c r="V289" s="2">
        <v>44743</v>
      </c>
      <c r="W289" t="s">
        <v>10</v>
      </c>
    </row>
    <row r="290" spans="1:23" ht="14.1" customHeight="1" outlineLevel="2" x14ac:dyDescent="0.25">
      <c r="A290" t="str">
        <f t="shared" si="4"/>
        <v>9990005978GENOMMA LABORATORIES DO BRASIL LTDA1054,37</v>
      </c>
      <c r="B290" t="s">
        <v>2217</v>
      </c>
      <c r="C290">
        <v>9990005978</v>
      </c>
      <c r="D290" s="2">
        <v>44389</v>
      </c>
      <c r="E290" t="s">
        <v>0</v>
      </c>
      <c r="F290" t="s">
        <v>1</v>
      </c>
      <c r="G290" t="s">
        <v>1621</v>
      </c>
      <c r="H290" t="s">
        <v>531</v>
      </c>
      <c r="J290" s="3" t="s">
        <v>4</v>
      </c>
      <c r="K290" s="2">
        <v>45071</v>
      </c>
      <c r="L290" s="4">
        <v>1054.3699999999999</v>
      </c>
      <c r="M290" t="s">
        <v>5</v>
      </c>
      <c r="N290" s="4">
        <v>1054.3699999999999</v>
      </c>
      <c r="O290" t="s">
        <v>1622</v>
      </c>
      <c r="P290" s="4">
        <v>956.84</v>
      </c>
      <c r="Q290" s="5">
        <v>-329</v>
      </c>
      <c r="R290" t="s">
        <v>1623</v>
      </c>
      <c r="S290" t="s">
        <v>1624</v>
      </c>
      <c r="T290" t="s">
        <v>1625</v>
      </c>
      <c r="U290" t="s">
        <v>1626</v>
      </c>
      <c r="V290" s="2">
        <v>44743</v>
      </c>
      <c r="W290" t="s">
        <v>10</v>
      </c>
    </row>
    <row r="291" spans="1:23" ht="14.1" customHeight="1" outlineLevel="2" x14ac:dyDescent="0.25">
      <c r="A291" t="str">
        <f t="shared" si="4"/>
        <v>9990006006META INDUSTRIA DE CALCADOS LTDA47812</v>
      </c>
      <c r="B291" t="s">
        <v>2218</v>
      </c>
      <c r="C291">
        <v>9990006006</v>
      </c>
      <c r="D291" s="2">
        <v>44722</v>
      </c>
      <c r="E291" t="s">
        <v>0</v>
      </c>
      <c r="F291" t="s">
        <v>1</v>
      </c>
      <c r="G291" t="s">
        <v>1627</v>
      </c>
      <c r="H291" t="s">
        <v>1628</v>
      </c>
      <c r="J291" s="3" t="s">
        <v>4</v>
      </c>
      <c r="K291" s="2">
        <v>44752</v>
      </c>
      <c r="L291" s="4">
        <v>47812</v>
      </c>
      <c r="M291" t="s">
        <v>5</v>
      </c>
      <c r="N291" s="4">
        <v>47812</v>
      </c>
      <c r="O291" t="s">
        <v>1629</v>
      </c>
      <c r="P291" s="4">
        <v>43389.39</v>
      </c>
      <c r="Q291" s="5">
        <v>-10</v>
      </c>
      <c r="R291" t="s">
        <v>1630</v>
      </c>
      <c r="S291" t="s">
        <v>1631</v>
      </c>
      <c r="T291" t="s">
        <v>26</v>
      </c>
      <c r="U291" t="s">
        <v>1632</v>
      </c>
      <c r="V291" s="2">
        <v>44743</v>
      </c>
      <c r="W291" t="s">
        <v>10</v>
      </c>
    </row>
    <row r="292" spans="1:23" ht="14.1" customHeight="1" outlineLevel="2" x14ac:dyDescent="0.25">
      <c r="A292" t="str">
        <f t="shared" si="4"/>
        <v>9990006055SIKA S A3891</v>
      </c>
      <c r="B292" t="s">
        <v>2219</v>
      </c>
      <c r="C292">
        <v>9990006055</v>
      </c>
      <c r="D292" s="2">
        <v>44722</v>
      </c>
      <c r="E292" t="s">
        <v>0</v>
      </c>
      <c r="F292" t="s">
        <v>1</v>
      </c>
      <c r="G292" t="s">
        <v>1633</v>
      </c>
      <c r="H292" t="s">
        <v>589</v>
      </c>
      <c r="J292" s="3" t="s">
        <v>4</v>
      </c>
      <c r="K292" s="2">
        <v>44752</v>
      </c>
      <c r="L292" s="4">
        <v>3891</v>
      </c>
      <c r="M292" t="s">
        <v>5</v>
      </c>
      <c r="N292" s="4">
        <v>3891</v>
      </c>
      <c r="O292" t="s">
        <v>1634</v>
      </c>
      <c r="P292" s="4">
        <v>3531.08</v>
      </c>
      <c r="Q292" s="5">
        <v>-10</v>
      </c>
      <c r="R292" t="s">
        <v>1635</v>
      </c>
      <c r="S292" t="s">
        <v>1636</v>
      </c>
      <c r="T292" t="s">
        <v>4</v>
      </c>
      <c r="U292" t="s">
        <v>1637</v>
      </c>
      <c r="V292" s="2">
        <v>44743</v>
      </c>
      <c r="W292" t="s">
        <v>10</v>
      </c>
    </row>
    <row r="293" spans="1:23" ht="14.1" customHeight="1" outlineLevel="2" x14ac:dyDescent="0.25">
      <c r="A293" t="str">
        <f t="shared" si="4"/>
        <v>9990006086CALCENTER - CALCADOS CENTRO-OESTE L8077</v>
      </c>
      <c r="B293" t="s">
        <v>2220</v>
      </c>
      <c r="C293">
        <v>9990006086</v>
      </c>
      <c r="D293" s="2">
        <v>44722</v>
      </c>
      <c r="E293" t="s">
        <v>0</v>
      </c>
      <c r="F293" t="s">
        <v>1</v>
      </c>
      <c r="G293" t="s">
        <v>1638</v>
      </c>
      <c r="H293" t="s">
        <v>1639</v>
      </c>
      <c r="J293" s="3" t="s">
        <v>4</v>
      </c>
      <c r="K293" s="2">
        <v>44752</v>
      </c>
      <c r="L293" s="4">
        <v>8077</v>
      </c>
      <c r="M293" t="s">
        <v>5</v>
      </c>
      <c r="N293" s="4">
        <v>8077</v>
      </c>
      <c r="O293" t="s">
        <v>1640</v>
      </c>
      <c r="P293" s="4">
        <v>7329.88</v>
      </c>
      <c r="Q293" s="5">
        <v>-10</v>
      </c>
      <c r="R293" t="s">
        <v>1641</v>
      </c>
      <c r="S293" t="s">
        <v>1642</v>
      </c>
      <c r="T293" t="s">
        <v>4</v>
      </c>
      <c r="U293" t="s">
        <v>1643</v>
      </c>
      <c r="V293" s="2">
        <v>44743</v>
      </c>
      <c r="W293" t="s">
        <v>10</v>
      </c>
    </row>
    <row r="294" spans="1:23" ht="14.1" customHeight="1" outlineLevel="2" x14ac:dyDescent="0.25">
      <c r="A294" t="str">
        <f t="shared" si="4"/>
        <v>9990006141BR PARTNER EQUIPAMENTOS ELETRONICOS1054,01</v>
      </c>
      <c r="B294" t="s">
        <v>2221</v>
      </c>
      <c r="C294">
        <v>9990006141</v>
      </c>
      <c r="D294" s="2">
        <v>44722</v>
      </c>
      <c r="E294" t="s">
        <v>0</v>
      </c>
      <c r="F294" t="s">
        <v>1</v>
      </c>
      <c r="G294" t="s">
        <v>1644</v>
      </c>
      <c r="H294" t="s">
        <v>626</v>
      </c>
      <c r="J294" s="3" t="s">
        <v>4</v>
      </c>
      <c r="K294" s="2">
        <v>44752</v>
      </c>
      <c r="L294" s="4">
        <v>1054.01</v>
      </c>
      <c r="M294" t="s">
        <v>5</v>
      </c>
      <c r="N294" s="4">
        <v>1054.01</v>
      </c>
      <c r="O294" t="s">
        <v>1645</v>
      </c>
      <c r="P294" s="4">
        <v>956.52</v>
      </c>
      <c r="Q294" s="5">
        <v>-10</v>
      </c>
      <c r="R294" t="s">
        <v>1646</v>
      </c>
      <c r="S294" t="s">
        <v>1647</v>
      </c>
      <c r="T294" t="s">
        <v>4</v>
      </c>
      <c r="U294" t="s">
        <v>1648</v>
      </c>
      <c r="V294" s="2">
        <v>44743</v>
      </c>
      <c r="W294" t="s">
        <v>10</v>
      </c>
    </row>
    <row r="295" spans="1:23" ht="14.1" customHeight="1" outlineLevel="2" x14ac:dyDescent="0.25">
      <c r="A295" t="str">
        <f t="shared" si="4"/>
        <v>9990006143NESTLÉ STORES LTDA9212</v>
      </c>
      <c r="B295" t="s">
        <v>2222</v>
      </c>
      <c r="C295">
        <v>9990006143</v>
      </c>
      <c r="D295" s="2">
        <v>44722</v>
      </c>
      <c r="E295" t="s">
        <v>0</v>
      </c>
      <c r="F295" t="s">
        <v>1</v>
      </c>
      <c r="G295" t="s">
        <v>1649</v>
      </c>
      <c r="H295" t="s">
        <v>632</v>
      </c>
      <c r="J295" s="3" t="s">
        <v>4</v>
      </c>
      <c r="K295" s="2">
        <v>44752</v>
      </c>
      <c r="L295" s="4">
        <v>9212</v>
      </c>
      <c r="M295" t="s">
        <v>5</v>
      </c>
      <c r="N295" s="4">
        <v>9212</v>
      </c>
      <c r="O295" t="s">
        <v>1650</v>
      </c>
      <c r="P295" s="4">
        <v>8359.89</v>
      </c>
      <c r="Q295" s="5">
        <v>-10</v>
      </c>
      <c r="R295" t="s">
        <v>1651</v>
      </c>
      <c r="S295" t="s">
        <v>1652</v>
      </c>
      <c r="T295" t="s">
        <v>1653</v>
      </c>
      <c r="U295" t="s">
        <v>1654</v>
      </c>
      <c r="V295" s="2">
        <v>44743</v>
      </c>
      <c r="W295" t="s">
        <v>10</v>
      </c>
    </row>
    <row r="296" spans="1:23" ht="14.1" customHeight="1" outlineLevel="2" x14ac:dyDescent="0.25">
      <c r="A296" t="str">
        <f t="shared" si="4"/>
        <v>9990006149Envision Ind. de Produtos Eletrônic2000</v>
      </c>
      <c r="B296" t="s">
        <v>2223</v>
      </c>
      <c r="C296">
        <v>9990006149</v>
      </c>
      <c r="D296" s="2">
        <v>44722</v>
      </c>
      <c r="E296" t="s">
        <v>0</v>
      </c>
      <c r="F296" t="s">
        <v>1</v>
      </c>
      <c r="G296" t="s">
        <v>1655</v>
      </c>
      <c r="H296" t="s">
        <v>1656</v>
      </c>
      <c r="J296" s="3" t="s">
        <v>4</v>
      </c>
      <c r="K296" s="2">
        <v>44752</v>
      </c>
      <c r="L296" s="4">
        <v>2000</v>
      </c>
      <c r="M296" t="s">
        <v>5</v>
      </c>
      <c r="N296" s="4">
        <v>2000</v>
      </c>
      <c r="O296" t="s">
        <v>1657</v>
      </c>
      <c r="P296" s="4">
        <v>1815</v>
      </c>
      <c r="Q296" s="5">
        <v>-10</v>
      </c>
      <c r="R296" t="s">
        <v>1658</v>
      </c>
      <c r="S296" t="s">
        <v>1659</v>
      </c>
      <c r="T296" t="s">
        <v>4</v>
      </c>
      <c r="U296" t="s">
        <v>1660</v>
      </c>
      <c r="V296" s="2">
        <v>44743</v>
      </c>
      <c r="W296" t="s">
        <v>10</v>
      </c>
    </row>
    <row r="297" spans="1:23" ht="14.1" customHeight="1" outlineLevel="2" x14ac:dyDescent="0.25">
      <c r="A297" t="str">
        <f t="shared" si="4"/>
        <v>9990006192Companhia Brasileira de Distribuiçã370000</v>
      </c>
      <c r="B297" t="s">
        <v>2224</v>
      </c>
      <c r="C297">
        <v>9990006192</v>
      </c>
      <c r="D297" s="2">
        <v>44722</v>
      </c>
      <c r="E297" t="s">
        <v>0</v>
      </c>
      <c r="F297" t="s">
        <v>1</v>
      </c>
      <c r="G297" t="s">
        <v>1661</v>
      </c>
      <c r="H297" t="s">
        <v>675</v>
      </c>
      <c r="J297" s="3" t="s">
        <v>4</v>
      </c>
      <c r="K297" s="2">
        <v>44782</v>
      </c>
      <c r="L297" s="4">
        <v>370000</v>
      </c>
      <c r="M297" t="s">
        <v>5</v>
      </c>
      <c r="N297" s="4">
        <v>370000</v>
      </c>
      <c r="O297" t="s">
        <v>1662</v>
      </c>
      <c r="P297" s="4">
        <v>335775</v>
      </c>
      <c r="Q297" s="5">
        <v>-40</v>
      </c>
      <c r="R297" t="s">
        <v>1663</v>
      </c>
      <c r="S297" t="s">
        <v>1664</v>
      </c>
      <c r="T297" t="s">
        <v>4</v>
      </c>
      <c r="U297" t="s">
        <v>1665</v>
      </c>
      <c r="V297" s="2">
        <v>44743</v>
      </c>
      <c r="W297" t="s">
        <v>10</v>
      </c>
    </row>
    <row r="298" spans="1:23" ht="14.1" customHeight="1" outlineLevel="2" x14ac:dyDescent="0.25">
      <c r="A298" t="str">
        <f t="shared" si="4"/>
        <v>9990006192Companhia Brasileira de Distribuiçã325000</v>
      </c>
      <c r="B298" t="s">
        <v>2225</v>
      </c>
      <c r="C298">
        <v>9990006192</v>
      </c>
      <c r="D298" s="2">
        <v>44692</v>
      </c>
      <c r="E298" t="s">
        <v>0</v>
      </c>
      <c r="F298" t="s">
        <v>1</v>
      </c>
      <c r="G298" t="s">
        <v>1666</v>
      </c>
      <c r="H298" t="s">
        <v>675</v>
      </c>
      <c r="J298" s="3" t="s">
        <v>4</v>
      </c>
      <c r="K298" s="2">
        <v>44752</v>
      </c>
      <c r="L298" s="4">
        <v>325000</v>
      </c>
      <c r="M298" t="s">
        <v>5</v>
      </c>
      <c r="N298" s="4">
        <v>325000</v>
      </c>
      <c r="O298" t="s">
        <v>1667</v>
      </c>
      <c r="P298" s="4">
        <v>294937.5</v>
      </c>
      <c r="Q298" s="5">
        <v>-10</v>
      </c>
      <c r="R298" t="s">
        <v>1668</v>
      </c>
      <c r="S298" t="s">
        <v>1669</v>
      </c>
      <c r="T298" t="s">
        <v>4</v>
      </c>
      <c r="U298" t="s">
        <v>1670</v>
      </c>
      <c r="V298" s="2">
        <v>44743</v>
      </c>
      <c r="W298" t="s">
        <v>10</v>
      </c>
    </row>
    <row r="299" spans="1:23" ht="14.1" customHeight="1" outlineLevel="2" x14ac:dyDescent="0.25">
      <c r="A299" t="str">
        <f t="shared" si="4"/>
        <v>9990006192Companhia Brasileira de Distribuiçã189600</v>
      </c>
      <c r="B299" t="s">
        <v>2226</v>
      </c>
      <c r="C299">
        <v>9990006192</v>
      </c>
      <c r="D299" s="2">
        <v>44692</v>
      </c>
      <c r="E299" t="s">
        <v>0</v>
      </c>
      <c r="F299" t="s">
        <v>1</v>
      </c>
      <c r="G299" t="s">
        <v>1671</v>
      </c>
      <c r="H299" t="s">
        <v>675</v>
      </c>
      <c r="J299" s="3" t="s">
        <v>4</v>
      </c>
      <c r="K299" s="2">
        <v>44752</v>
      </c>
      <c r="L299" s="4">
        <v>189600</v>
      </c>
      <c r="M299" t="s">
        <v>5</v>
      </c>
      <c r="N299" s="4">
        <v>189600</v>
      </c>
      <c r="O299" t="s">
        <v>1672</v>
      </c>
      <c r="P299" s="4">
        <v>172062</v>
      </c>
      <c r="Q299" s="5">
        <v>-10</v>
      </c>
      <c r="R299" t="s">
        <v>1673</v>
      </c>
      <c r="S299" t="s">
        <v>1674</v>
      </c>
      <c r="T299" t="s">
        <v>4</v>
      </c>
      <c r="U299" t="s">
        <v>1675</v>
      </c>
      <c r="V299" s="2">
        <v>44743</v>
      </c>
      <c r="W299" t="s">
        <v>10</v>
      </c>
    </row>
    <row r="300" spans="1:23" ht="14.1" customHeight="1" outlineLevel="2" x14ac:dyDescent="0.25">
      <c r="A300" t="str">
        <f t="shared" si="4"/>
        <v>9990006222Electrolux do Brasil S/A5000</v>
      </c>
      <c r="B300" t="s">
        <v>2227</v>
      </c>
      <c r="C300">
        <v>9990006222</v>
      </c>
      <c r="D300" s="2">
        <v>44722</v>
      </c>
      <c r="E300" t="s">
        <v>0</v>
      </c>
      <c r="F300" t="s">
        <v>1</v>
      </c>
      <c r="G300" t="s">
        <v>1676</v>
      </c>
      <c r="H300" t="s">
        <v>1677</v>
      </c>
      <c r="J300" s="3" t="s">
        <v>4</v>
      </c>
      <c r="K300" s="2">
        <v>44752</v>
      </c>
      <c r="L300" s="4">
        <v>5000</v>
      </c>
      <c r="M300" t="s">
        <v>5</v>
      </c>
      <c r="N300" s="4">
        <v>5000</v>
      </c>
      <c r="O300" t="s">
        <v>1678</v>
      </c>
      <c r="P300" s="4">
        <v>4537.5</v>
      </c>
      <c r="Q300" s="5">
        <v>-10</v>
      </c>
      <c r="R300" t="s">
        <v>1679</v>
      </c>
      <c r="S300" t="s">
        <v>1680</v>
      </c>
      <c r="T300" t="s">
        <v>4</v>
      </c>
      <c r="U300" t="s">
        <v>1681</v>
      </c>
      <c r="V300" s="2">
        <v>44743</v>
      </c>
      <c r="W300" t="s">
        <v>10</v>
      </c>
    </row>
    <row r="301" spans="1:23" ht="14.1" customHeight="1" outlineLevel="2" x14ac:dyDescent="0.25">
      <c r="A301" t="str">
        <f t="shared" si="4"/>
        <v>9990006243Audi do Brasil Industria e Comercio42092,99</v>
      </c>
      <c r="B301" t="s">
        <v>2228</v>
      </c>
      <c r="C301">
        <v>9990006243</v>
      </c>
      <c r="D301" s="2">
        <v>44722</v>
      </c>
      <c r="E301" t="s">
        <v>0</v>
      </c>
      <c r="F301" t="s">
        <v>1</v>
      </c>
      <c r="G301" t="s">
        <v>1682</v>
      </c>
      <c r="H301" t="s">
        <v>1683</v>
      </c>
      <c r="J301" s="3" t="s">
        <v>4</v>
      </c>
      <c r="K301" s="2">
        <v>44752</v>
      </c>
      <c r="L301" s="4">
        <v>42092.99</v>
      </c>
      <c r="M301" t="s">
        <v>5</v>
      </c>
      <c r="N301" s="4">
        <v>42092.99</v>
      </c>
      <c r="O301" t="s">
        <v>1684</v>
      </c>
      <c r="P301" s="4">
        <v>38199.39</v>
      </c>
      <c r="Q301" s="5">
        <v>-10</v>
      </c>
      <c r="R301" t="s">
        <v>1685</v>
      </c>
      <c r="S301" t="s">
        <v>1686</v>
      </c>
      <c r="T301" t="s">
        <v>1687</v>
      </c>
      <c r="U301" t="s">
        <v>1688</v>
      </c>
      <c r="V301" s="2">
        <v>44743</v>
      </c>
      <c r="W301" t="s">
        <v>10</v>
      </c>
    </row>
    <row r="302" spans="1:23" ht="14.1" customHeight="1" outlineLevel="2" x14ac:dyDescent="0.25">
      <c r="A302" t="str">
        <f t="shared" si="4"/>
        <v>9990006334SYNAPCOM COMERCIO ELETRONICO LTDA15400</v>
      </c>
      <c r="B302" t="s">
        <v>2229</v>
      </c>
      <c r="C302">
        <v>9990006334</v>
      </c>
      <c r="D302" s="2">
        <v>44602</v>
      </c>
      <c r="E302" t="s">
        <v>0</v>
      </c>
      <c r="F302" t="s">
        <v>1</v>
      </c>
      <c r="G302" t="s">
        <v>1689</v>
      </c>
      <c r="H302" t="s">
        <v>713</v>
      </c>
      <c r="J302" s="3" t="s">
        <v>4</v>
      </c>
      <c r="K302" s="2">
        <v>44761</v>
      </c>
      <c r="L302" s="4">
        <v>15400</v>
      </c>
      <c r="M302" t="s">
        <v>5</v>
      </c>
      <c r="N302" s="4">
        <v>15400</v>
      </c>
      <c r="O302" t="s">
        <v>1690</v>
      </c>
      <c r="P302" s="4">
        <v>13975.5</v>
      </c>
      <c r="Q302" s="5">
        <v>-19</v>
      </c>
      <c r="R302" t="s">
        <v>1691</v>
      </c>
      <c r="S302" t="s">
        <v>1692</v>
      </c>
      <c r="T302" t="s">
        <v>4</v>
      </c>
      <c r="U302" t="s">
        <v>1693</v>
      </c>
      <c r="V302" s="2">
        <v>44743</v>
      </c>
      <c r="W302" t="s">
        <v>10</v>
      </c>
    </row>
    <row r="303" spans="1:23" ht="14.1" customHeight="1" outlineLevel="2" x14ac:dyDescent="0.25">
      <c r="A303" t="str">
        <f t="shared" si="4"/>
        <v>9990006334SYNAPCOM COMERCIO ELETRONICO LTDA6000</v>
      </c>
      <c r="B303" t="s">
        <v>2230</v>
      </c>
      <c r="C303">
        <v>9990006334</v>
      </c>
      <c r="D303" s="2">
        <v>44722</v>
      </c>
      <c r="E303" t="s">
        <v>0</v>
      </c>
      <c r="F303" t="s">
        <v>1</v>
      </c>
      <c r="G303" t="s">
        <v>1694</v>
      </c>
      <c r="H303" t="s">
        <v>713</v>
      </c>
      <c r="J303" s="3" t="s">
        <v>4</v>
      </c>
      <c r="K303" s="2">
        <v>44752</v>
      </c>
      <c r="L303" s="4">
        <v>6000</v>
      </c>
      <c r="M303" t="s">
        <v>5</v>
      </c>
      <c r="N303" s="4">
        <v>6000</v>
      </c>
      <c r="O303" t="s">
        <v>1695</v>
      </c>
      <c r="P303" s="4">
        <v>5445</v>
      </c>
      <c r="Q303" s="5">
        <v>-10</v>
      </c>
      <c r="R303" t="s">
        <v>1696</v>
      </c>
      <c r="S303" t="s">
        <v>1697</v>
      </c>
      <c r="T303" t="s">
        <v>4</v>
      </c>
      <c r="U303" t="s">
        <v>1698</v>
      </c>
      <c r="V303" s="2">
        <v>44743</v>
      </c>
      <c r="W303" t="s">
        <v>10</v>
      </c>
    </row>
    <row r="304" spans="1:23" ht="14.1" customHeight="1" outlineLevel="2" x14ac:dyDescent="0.25">
      <c r="A304" t="str">
        <f t="shared" si="4"/>
        <v>9990006334SYNAPCOM COMERCIO ELETRONICO LTDA10000</v>
      </c>
      <c r="B304" t="s">
        <v>2231</v>
      </c>
      <c r="C304">
        <v>9990006334</v>
      </c>
      <c r="D304" s="2">
        <v>44602</v>
      </c>
      <c r="E304" t="s">
        <v>0</v>
      </c>
      <c r="F304" t="s">
        <v>1</v>
      </c>
      <c r="G304" t="s">
        <v>1699</v>
      </c>
      <c r="H304" t="s">
        <v>713</v>
      </c>
      <c r="J304" s="3" t="s">
        <v>4</v>
      </c>
      <c r="K304" s="2">
        <v>44761</v>
      </c>
      <c r="L304" s="4">
        <v>10000</v>
      </c>
      <c r="M304" t="s">
        <v>5</v>
      </c>
      <c r="N304" s="4">
        <v>10000</v>
      </c>
      <c r="O304" t="s">
        <v>1700</v>
      </c>
      <c r="P304" s="4">
        <v>9075</v>
      </c>
      <c r="Q304" s="5">
        <v>-19</v>
      </c>
      <c r="R304" t="s">
        <v>1701</v>
      </c>
      <c r="S304" t="s">
        <v>1702</v>
      </c>
      <c r="T304" t="s">
        <v>4</v>
      </c>
      <c r="U304" t="s">
        <v>1703</v>
      </c>
      <c r="V304" s="2">
        <v>44743</v>
      </c>
      <c r="W304" t="s">
        <v>10</v>
      </c>
    </row>
    <row r="305" spans="1:23" ht="14.1" customHeight="1" outlineLevel="2" x14ac:dyDescent="0.25">
      <c r="A305" t="str">
        <f t="shared" si="4"/>
        <v>9990006334SYNAPCOM COMERCIO ELETRONICO LTDA1206,55</v>
      </c>
      <c r="B305" t="s">
        <v>2232</v>
      </c>
      <c r="C305">
        <v>9990006334</v>
      </c>
      <c r="D305" s="2">
        <v>44722</v>
      </c>
      <c r="E305" t="s">
        <v>0</v>
      </c>
      <c r="F305" t="s">
        <v>1</v>
      </c>
      <c r="G305" t="s">
        <v>1704</v>
      </c>
      <c r="H305" t="s">
        <v>713</v>
      </c>
      <c r="J305" s="3" t="s">
        <v>4</v>
      </c>
      <c r="K305" s="2">
        <v>44752</v>
      </c>
      <c r="L305" s="4">
        <v>1206.55</v>
      </c>
      <c r="M305" t="s">
        <v>5</v>
      </c>
      <c r="N305" s="4">
        <v>1206.55</v>
      </c>
      <c r="O305" t="s">
        <v>1705</v>
      </c>
      <c r="P305" s="4">
        <v>1094.94</v>
      </c>
      <c r="Q305" s="5">
        <v>-10</v>
      </c>
      <c r="R305" t="s">
        <v>1706</v>
      </c>
      <c r="S305" t="s">
        <v>1707</v>
      </c>
      <c r="T305" t="s">
        <v>4</v>
      </c>
      <c r="U305" t="s">
        <v>1708</v>
      </c>
      <c r="V305" s="2">
        <v>44743</v>
      </c>
      <c r="W305" t="s">
        <v>10</v>
      </c>
    </row>
    <row r="306" spans="1:23" ht="14.1" customHeight="1" outlineLevel="2" x14ac:dyDescent="0.25">
      <c r="A306" t="str">
        <f t="shared" si="4"/>
        <v>9990006334SYNAPCOM COMERCIO ELETRONICO LTDA25000</v>
      </c>
      <c r="B306" t="s">
        <v>2233</v>
      </c>
      <c r="C306">
        <v>9990006334</v>
      </c>
      <c r="D306" s="2">
        <v>44602</v>
      </c>
      <c r="E306" t="s">
        <v>0</v>
      </c>
      <c r="F306" t="s">
        <v>1</v>
      </c>
      <c r="G306" t="s">
        <v>1709</v>
      </c>
      <c r="H306" t="s">
        <v>713</v>
      </c>
      <c r="J306" s="3" t="s">
        <v>4</v>
      </c>
      <c r="K306" s="2">
        <v>44761</v>
      </c>
      <c r="L306" s="4">
        <v>25000</v>
      </c>
      <c r="M306" t="s">
        <v>5</v>
      </c>
      <c r="N306" s="4">
        <v>25000</v>
      </c>
      <c r="O306" t="s">
        <v>1710</v>
      </c>
      <c r="P306" s="4">
        <v>22687.5</v>
      </c>
      <c r="Q306" s="5">
        <v>-19</v>
      </c>
      <c r="R306" t="s">
        <v>1711</v>
      </c>
      <c r="S306" t="s">
        <v>1712</v>
      </c>
      <c r="T306" t="s">
        <v>4</v>
      </c>
      <c r="U306" t="s">
        <v>1713</v>
      </c>
      <c r="V306" s="2">
        <v>44743</v>
      </c>
      <c r="W306" t="s">
        <v>10</v>
      </c>
    </row>
    <row r="307" spans="1:23" ht="14.1" customHeight="1" outlineLevel="2" x14ac:dyDescent="0.25">
      <c r="A307" t="str">
        <f t="shared" si="4"/>
        <v>9990006461WCT Fitness ltda742999,92</v>
      </c>
      <c r="B307" t="s">
        <v>2234</v>
      </c>
      <c r="C307">
        <v>9990006461</v>
      </c>
      <c r="D307" s="2">
        <v>44540</v>
      </c>
      <c r="E307" t="s">
        <v>0</v>
      </c>
      <c r="F307" t="s">
        <v>1</v>
      </c>
      <c r="G307" t="s">
        <v>1714</v>
      </c>
      <c r="H307" t="s">
        <v>720</v>
      </c>
      <c r="J307" s="3" t="s">
        <v>4</v>
      </c>
      <c r="K307" s="2">
        <v>44752</v>
      </c>
      <c r="L307" s="4">
        <v>742999.92</v>
      </c>
      <c r="M307" t="s">
        <v>5</v>
      </c>
      <c r="N307" s="4">
        <v>742999.92</v>
      </c>
      <c r="O307" t="s">
        <v>1715</v>
      </c>
      <c r="P307" s="4">
        <v>674272.43</v>
      </c>
      <c r="Q307" s="5">
        <v>-10</v>
      </c>
      <c r="R307" t="s">
        <v>1716</v>
      </c>
      <c r="S307" t="s">
        <v>1717</v>
      </c>
      <c r="T307" t="s">
        <v>26</v>
      </c>
      <c r="U307" t="s">
        <v>1718</v>
      </c>
      <c r="V307" s="2">
        <v>44743</v>
      </c>
      <c r="W307" t="s">
        <v>10</v>
      </c>
    </row>
    <row r="308" spans="1:23" ht="14.1" customHeight="1" outlineLevel="2" x14ac:dyDescent="0.25">
      <c r="A308" t="str">
        <f t="shared" si="4"/>
        <v>9990006575DEPOSITO DOS COPOS LTDA6542</v>
      </c>
      <c r="B308" t="s">
        <v>2235</v>
      </c>
      <c r="C308">
        <v>9990006575</v>
      </c>
      <c r="D308" s="2">
        <v>44722</v>
      </c>
      <c r="E308" t="s">
        <v>0</v>
      </c>
      <c r="F308" t="s">
        <v>1</v>
      </c>
      <c r="G308" t="s">
        <v>1719</v>
      </c>
      <c r="H308" t="s">
        <v>740</v>
      </c>
      <c r="J308" s="3" t="s">
        <v>4</v>
      </c>
      <c r="K308" s="2">
        <v>44752</v>
      </c>
      <c r="L308" s="4">
        <v>6542</v>
      </c>
      <c r="M308" t="s">
        <v>5</v>
      </c>
      <c r="N308" s="4">
        <v>6542</v>
      </c>
      <c r="O308" t="s">
        <v>1720</v>
      </c>
      <c r="P308" s="4">
        <v>5936.87</v>
      </c>
      <c r="Q308" s="5">
        <v>-10</v>
      </c>
      <c r="R308" t="s">
        <v>1721</v>
      </c>
      <c r="S308" t="s">
        <v>1722</v>
      </c>
      <c r="T308" t="s">
        <v>4</v>
      </c>
      <c r="U308" t="s">
        <v>1723</v>
      </c>
      <c r="V308" s="2">
        <v>44743</v>
      </c>
      <c r="W308" t="s">
        <v>10</v>
      </c>
    </row>
    <row r="309" spans="1:23" ht="14.1" customHeight="1" outlineLevel="2" x14ac:dyDescent="0.25">
      <c r="A309" t="str">
        <f t="shared" si="4"/>
        <v>9990006575DEPOSITO DOS COPOS LTDA6881</v>
      </c>
      <c r="B309" t="s">
        <v>2236</v>
      </c>
      <c r="C309">
        <v>9990006575</v>
      </c>
      <c r="D309" s="2">
        <v>44722</v>
      </c>
      <c r="E309" t="s">
        <v>0</v>
      </c>
      <c r="F309" t="s">
        <v>1</v>
      </c>
      <c r="G309" t="s">
        <v>1724</v>
      </c>
      <c r="H309" t="s">
        <v>740</v>
      </c>
      <c r="J309" s="3" t="s">
        <v>4</v>
      </c>
      <c r="K309" s="2">
        <v>44752</v>
      </c>
      <c r="L309" s="4">
        <v>6881</v>
      </c>
      <c r="M309" t="s">
        <v>5</v>
      </c>
      <c r="N309" s="4">
        <v>6881</v>
      </c>
      <c r="O309" t="s">
        <v>1725</v>
      </c>
      <c r="P309" s="4">
        <v>6244.5</v>
      </c>
      <c r="Q309" s="5">
        <v>-10</v>
      </c>
      <c r="R309" t="s">
        <v>1726</v>
      </c>
      <c r="S309" t="s">
        <v>1727</v>
      </c>
      <c r="T309" t="s">
        <v>4</v>
      </c>
      <c r="U309" t="s">
        <v>1728</v>
      </c>
      <c r="V309" s="2">
        <v>44743</v>
      </c>
      <c r="W309" t="s">
        <v>10</v>
      </c>
    </row>
    <row r="310" spans="1:23" ht="14.1" customHeight="1" outlineLevel="2" x14ac:dyDescent="0.25">
      <c r="A310" t="str">
        <f t="shared" si="4"/>
        <v>9990008108VINICIUS VICTOR DA SILVA CONSULTORI20998</v>
      </c>
      <c r="B310" t="s">
        <v>2237</v>
      </c>
      <c r="C310">
        <v>9990008108</v>
      </c>
      <c r="D310" s="2">
        <v>44510</v>
      </c>
      <c r="E310" t="s">
        <v>0</v>
      </c>
      <c r="F310" t="s">
        <v>1</v>
      </c>
      <c r="G310" t="s">
        <v>1729</v>
      </c>
      <c r="H310" t="s">
        <v>1730</v>
      </c>
      <c r="J310" s="3" t="s">
        <v>4</v>
      </c>
      <c r="K310" s="2">
        <v>44752</v>
      </c>
      <c r="L310" s="4">
        <v>20998</v>
      </c>
      <c r="M310" t="s">
        <v>5</v>
      </c>
      <c r="N310" s="4">
        <v>20998</v>
      </c>
      <c r="O310" t="s">
        <v>1731</v>
      </c>
      <c r="P310" s="4">
        <v>19055.68</v>
      </c>
      <c r="Q310" s="5">
        <v>-10</v>
      </c>
      <c r="R310" t="s">
        <v>1732</v>
      </c>
      <c r="S310" t="s">
        <v>1733</v>
      </c>
      <c r="T310" t="s">
        <v>38</v>
      </c>
      <c r="U310" t="s">
        <v>1734</v>
      </c>
      <c r="V310" s="2">
        <v>44743</v>
      </c>
      <c r="W310" t="s">
        <v>10</v>
      </c>
    </row>
    <row r="311" spans="1:23" ht="14.1" customHeight="1" outlineLevel="2" x14ac:dyDescent="0.25">
      <c r="A311" t="str">
        <f t="shared" si="4"/>
        <v>9990008148D JUAN COLCHOES IND COMERCIO E SERV100742,12</v>
      </c>
      <c r="B311" t="s">
        <v>2238</v>
      </c>
      <c r="C311">
        <v>9990008148</v>
      </c>
      <c r="D311" s="2">
        <v>44722</v>
      </c>
      <c r="E311" t="s">
        <v>0</v>
      </c>
      <c r="F311" t="s">
        <v>1</v>
      </c>
      <c r="G311" t="s">
        <v>1735</v>
      </c>
      <c r="H311" t="s">
        <v>1736</v>
      </c>
      <c r="J311" s="3" t="s">
        <v>4</v>
      </c>
      <c r="K311" s="2">
        <v>44752</v>
      </c>
      <c r="L311" s="4">
        <v>100742.12</v>
      </c>
      <c r="M311" t="s">
        <v>5</v>
      </c>
      <c r="N311" s="4">
        <v>100742.12</v>
      </c>
      <c r="O311" t="s">
        <v>1737</v>
      </c>
      <c r="P311" s="4">
        <v>91423.48</v>
      </c>
      <c r="Q311" s="5">
        <v>-10</v>
      </c>
      <c r="R311" t="s">
        <v>1738</v>
      </c>
      <c r="S311" t="s">
        <v>1739</v>
      </c>
      <c r="T311" t="s">
        <v>4</v>
      </c>
      <c r="U311" t="s">
        <v>1740</v>
      </c>
      <c r="V311" s="2">
        <v>44743</v>
      </c>
      <c r="W311" t="s">
        <v>10</v>
      </c>
    </row>
    <row r="312" spans="1:23" ht="14.1" customHeight="1" outlineLevel="2" x14ac:dyDescent="0.25">
      <c r="A312" t="str">
        <f t="shared" si="4"/>
        <v>9990008148D JUAN COLCHOES IND COMERCIO E SERV49588</v>
      </c>
      <c r="B312" t="s">
        <v>2239</v>
      </c>
      <c r="C312">
        <v>9990008148</v>
      </c>
      <c r="D312" s="2">
        <v>44692</v>
      </c>
      <c r="E312" t="s">
        <v>0</v>
      </c>
      <c r="F312" t="s">
        <v>1</v>
      </c>
      <c r="G312" t="s">
        <v>1741</v>
      </c>
      <c r="H312" t="s">
        <v>1736</v>
      </c>
      <c r="J312" s="3" t="s">
        <v>4</v>
      </c>
      <c r="K312" s="2">
        <v>44753</v>
      </c>
      <c r="L312" s="4">
        <v>49588</v>
      </c>
      <c r="M312" t="s">
        <v>5</v>
      </c>
      <c r="N312" s="4">
        <v>49588</v>
      </c>
      <c r="O312" t="s">
        <v>1742</v>
      </c>
      <c r="P312" s="4">
        <v>45001.11</v>
      </c>
      <c r="Q312" s="5">
        <v>-11</v>
      </c>
      <c r="R312" t="s">
        <v>1743</v>
      </c>
      <c r="S312" t="s">
        <v>1744</v>
      </c>
      <c r="T312" t="s">
        <v>4</v>
      </c>
      <c r="U312" t="s">
        <v>1745</v>
      </c>
      <c r="V312" s="2">
        <v>44743</v>
      </c>
      <c r="W312" t="s">
        <v>10</v>
      </c>
    </row>
    <row r="313" spans="1:23" ht="14.1" customHeight="1" outlineLevel="2" x14ac:dyDescent="0.25">
      <c r="A313" t="str">
        <f t="shared" si="4"/>
        <v>9990008185CRS BRANDS INDUSTRIA E COMERCIO LTD4362</v>
      </c>
      <c r="B313" t="s">
        <v>2240</v>
      </c>
      <c r="C313">
        <v>9990008185</v>
      </c>
      <c r="D313" s="2">
        <v>44722</v>
      </c>
      <c r="E313" t="s">
        <v>0</v>
      </c>
      <c r="F313" t="s">
        <v>1</v>
      </c>
      <c r="G313" t="s">
        <v>1746</v>
      </c>
      <c r="H313" t="s">
        <v>1747</v>
      </c>
      <c r="J313" s="3" t="s">
        <v>4</v>
      </c>
      <c r="K313" s="2">
        <v>44752</v>
      </c>
      <c r="L313" s="4">
        <v>4362</v>
      </c>
      <c r="M313" t="s">
        <v>5</v>
      </c>
      <c r="N313" s="4">
        <v>4362</v>
      </c>
      <c r="O313" t="s">
        <v>1748</v>
      </c>
      <c r="P313" s="4">
        <v>3958.52</v>
      </c>
      <c r="Q313" s="5">
        <v>-10</v>
      </c>
      <c r="R313" t="s">
        <v>1749</v>
      </c>
      <c r="S313" t="s">
        <v>1750</v>
      </c>
      <c r="T313" t="s">
        <v>4</v>
      </c>
      <c r="U313" t="s">
        <v>1751</v>
      </c>
      <c r="V313" s="2">
        <v>44743</v>
      </c>
      <c r="W313" t="s">
        <v>10</v>
      </c>
    </row>
    <row r="314" spans="1:23" ht="14.1" customHeight="1" outlineLevel="2" x14ac:dyDescent="0.25">
      <c r="A314" t="str">
        <f t="shared" si="4"/>
        <v>9990008187Campari do Brasil LTDA11350</v>
      </c>
      <c r="B314" t="s">
        <v>2241</v>
      </c>
      <c r="C314">
        <v>9990008187</v>
      </c>
      <c r="D314" s="2">
        <v>44692</v>
      </c>
      <c r="E314" t="s">
        <v>0</v>
      </c>
      <c r="F314" t="s">
        <v>1</v>
      </c>
      <c r="G314" t="s">
        <v>1752</v>
      </c>
      <c r="H314" t="s">
        <v>788</v>
      </c>
      <c r="J314" s="3" t="s">
        <v>4</v>
      </c>
      <c r="K314" s="2">
        <v>44757</v>
      </c>
      <c r="L314" s="4">
        <v>11350</v>
      </c>
      <c r="M314" t="s">
        <v>5</v>
      </c>
      <c r="N314" s="4">
        <v>11350</v>
      </c>
      <c r="O314" t="s">
        <v>1753</v>
      </c>
      <c r="P314" s="4">
        <v>10300.120000000001</v>
      </c>
      <c r="Q314" s="5">
        <v>-15</v>
      </c>
      <c r="R314" t="s">
        <v>1754</v>
      </c>
      <c r="S314" t="s">
        <v>1755</v>
      </c>
      <c r="T314" t="s">
        <v>4</v>
      </c>
      <c r="U314" t="s">
        <v>1756</v>
      </c>
      <c r="V314" s="2">
        <v>44743</v>
      </c>
      <c r="W314" t="s">
        <v>10</v>
      </c>
    </row>
    <row r="315" spans="1:23" ht="14.1" customHeight="1" outlineLevel="2" x14ac:dyDescent="0.25">
      <c r="A315" t="str">
        <f t="shared" si="4"/>
        <v>9990008187Campari do Brasil LTDA15062</v>
      </c>
      <c r="B315" t="s">
        <v>2242</v>
      </c>
      <c r="C315">
        <v>9990008187</v>
      </c>
      <c r="D315" s="2">
        <v>44722</v>
      </c>
      <c r="E315" t="s">
        <v>0</v>
      </c>
      <c r="F315" t="s">
        <v>1</v>
      </c>
      <c r="G315" t="s">
        <v>1757</v>
      </c>
      <c r="H315" t="s">
        <v>788</v>
      </c>
      <c r="J315" s="3" t="s">
        <v>4</v>
      </c>
      <c r="K315" s="2">
        <v>44752</v>
      </c>
      <c r="L315" s="4">
        <v>15062</v>
      </c>
      <c r="M315" t="s">
        <v>5</v>
      </c>
      <c r="N315" s="4">
        <v>15062</v>
      </c>
      <c r="O315" t="s">
        <v>1758</v>
      </c>
      <c r="P315" s="4">
        <v>13668.76</v>
      </c>
      <c r="Q315" s="5">
        <v>-10</v>
      </c>
      <c r="R315" t="s">
        <v>1759</v>
      </c>
      <c r="S315" t="s">
        <v>1760</v>
      </c>
      <c r="T315" t="s">
        <v>1761</v>
      </c>
      <c r="U315" t="s">
        <v>1762</v>
      </c>
      <c r="V315" s="2">
        <v>44743</v>
      </c>
      <c r="W315" t="s">
        <v>10</v>
      </c>
    </row>
    <row r="316" spans="1:23" ht="14.1" customHeight="1" outlineLevel="2" x14ac:dyDescent="0.25">
      <c r="A316" t="str">
        <f t="shared" si="4"/>
        <v>9990008197SOL-MILLENIUM MEDICAL INC.31000</v>
      </c>
      <c r="B316" t="s">
        <v>2243</v>
      </c>
      <c r="C316">
        <v>9990008197</v>
      </c>
      <c r="D316" s="2">
        <v>44722</v>
      </c>
      <c r="E316" t="s">
        <v>0</v>
      </c>
      <c r="F316" t="s">
        <v>1</v>
      </c>
      <c r="G316" t="s">
        <v>1763</v>
      </c>
      <c r="H316" t="s">
        <v>796</v>
      </c>
      <c r="J316" s="3" t="s">
        <v>4</v>
      </c>
      <c r="K316" s="2">
        <v>44752</v>
      </c>
      <c r="L316" s="4">
        <v>31000</v>
      </c>
      <c r="M316" t="s">
        <v>5</v>
      </c>
      <c r="N316" s="4">
        <v>31000</v>
      </c>
      <c r="O316" t="s">
        <v>1764</v>
      </c>
      <c r="P316" s="4">
        <v>28132.5</v>
      </c>
      <c r="Q316" s="5">
        <v>-10</v>
      </c>
      <c r="R316" t="s">
        <v>1765</v>
      </c>
      <c r="S316" t="s">
        <v>1766</v>
      </c>
      <c r="T316" t="s">
        <v>4</v>
      </c>
      <c r="U316" t="s">
        <v>1767</v>
      </c>
      <c r="V316" s="2">
        <v>44743</v>
      </c>
      <c r="W316" t="s">
        <v>10</v>
      </c>
    </row>
    <row r="317" spans="1:23" ht="14.1" customHeight="1" outlineLevel="2" x14ac:dyDescent="0.25">
      <c r="A317" t="str">
        <f t="shared" si="4"/>
        <v>9990008233USINA DE VENDAS SOLUCOES COMERCIAIS153000</v>
      </c>
      <c r="B317" t="s">
        <v>2244</v>
      </c>
      <c r="C317">
        <v>9990008233</v>
      </c>
      <c r="D317" s="2">
        <v>44722</v>
      </c>
      <c r="E317" t="s">
        <v>0</v>
      </c>
      <c r="F317" t="s">
        <v>1</v>
      </c>
      <c r="G317" t="s">
        <v>1768</v>
      </c>
      <c r="H317" t="s">
        <v>1769</v>
      </c>
      <c r="J317" s="3" t="s">
        <v>4</v>
      </c>
      <c r="K317" s="2">
        <v>44752</v>
      </c>
      <c r="L317" s="4">
        <v>153000</v>
      </c>
      <c r="M317" t="s">
        <v>5</v>
      </c>
      <c r="N317" s="4">
        <v>153000</v>
      </c>
      <c r="O317" t="s">
        <v>1770</v>
      </c>
      <c r="P317" s="4">
        <v>138847.5</v>
      </c>
      <c r="Q317" s="5">
        <v>-10</v>
      </c>
      <c r="R317" t="s">
        <v>1771</v>
      </c>
      <c r="S317" t="s">
        <v>1772</v>
      </c>
      <c r="T317" t="s">
        <v>4</v>
      </c>
      <c r="U317" t="s">
        <v>1773</v>
      </c>
      <c r="V317" s="2">
        <v>44743</v>
      </c>
      <c r="W317" t="s">
        <v>10</v>
      </c>
    </row>
    <row r="318" spans="1:23" ht="14.1" customHeight="1" outlineLevel="2" x14ac:dyDescent="0.25">
      <c r="A318" t="str">
        <f t="shared" si="4"/>
        <v>9990008426Asociación Gremial de Vinos de Chil38111,81</v>
      </c>
      <c r="B318" t="s">
        <v>2245</v>
      </c>
      <c r="C318">
        <v>9990008426</v>
      </c>
      <c r="D318" s="2">
        <v>44722</v>
      </c>
      <c r="E318" t="s">
        <v>0</v>
      </c>
      <c r="F318" t="s">
        <v>1</v>
      </c>
      <c r="G318" t="s">
        <v>1774</v>
      </c>
      <c r="H318" t="s">
        <v>1775</v>
      </c>
      <c r="J318" s="3" t="s">
        <v>4</v>
      </c>
      <c r="K318" s="2">
        <v>44752</v>
      </c>
      <c r="L318" s="4">
        <v>38111.81</v>
      </c>
      <c r="M318" t="s">
        <v>5</v>
      </c>
      <c r="N318" s="4">
        <v>38111.81</v>
      </c>
      <c r="O318" t="s">
        <v>1776</v>
      </c>
      <c r="P318" s="4">
        <v>34586.46</v>
      </c>
      <c r="Q318" s="5">
        <v>-10</v>
      </c>
      <c r="R318" t="s">
        <v>1777</v>
      </c>
      <c r="S318" t="s">
        <v>1778</v>
      </c>
      <c r="T318" t="s">
        <v>4</v>
      </c>
      <c r="U318" t="s">
        <v>1779</v>
      </c>
      <c r="V318" s="2">
        <v>44743</v>
      </c>
      <c r="W318" t="s">
        <v>10</v>
      </c>
    </row>
    <row r="319" spans="1:23" ht="14.1" customHeight="1" outlineLevel="2" x14ac:dyDescent="0.25">
      <c r="A319" t="str">
        <f t="shared" si="4"/>
        <v>9990008530Nestle Brasil Ltda170533</v>
      </c>
      <c r="B319" t="s">
        <v>2246</v>
      </c>
      <c r="C319">
        <v>9990008530</v>
      </c>
      <c r="D319" s="2">
        <v>44722</v>
      </c>
      <c r="E319" t="s">
        <v>0</v>
      </c>
      <c r="F319" t="s">
        <v>1</v>
      </c>
      <c r="G319" t="s">
        <v>1780</v>
      </c>
      <c r="H319" t="s">
        <v>872</v>
      </c>
      <c r="J319" s="3" t="s">
        <v>4</v>
      </c>
      <c r="K319" s="2">
        <v>44752</v>
      </c>
      <c r="L319" s="4">
        <v>170533</v>
      </c>
      <c r="M319" t="s">
        <v>5</v>
      </c>
      <c r="N319" s="4">
        <v>170533</v>
      </c>
      <c r="O319" t="s">
        <v>1781</v>
      </c>
      <c r="P319" s="4">
        <v>154758.69</v>
      </c>
      <c r="Q319" s="5">
        <v>-10</v>
      </c>
      <c r="R319" t="s">
        <v>1782</v>
      </c>
      <c r="S319" t="s">
        <v>1783</v>
      </c>
      <c r="T319" t="s">
        <v>1784</v>
      </c>
      <c r="U319" t="s">
        <v>1785</v>
      </c>
      <c r="V319" s="2">
        <v>44743</v>
      </c>
      <c r="W319" t="s">
        <v>10</v>
      </c>
    </row>
    <row r="320" spans="1:23" ht="14.1" customHeight="1" outlineLevel="2" x14ac:dyDescent="0.25">
      <c r="A320" t="str">
        <f t="shared" si="4"/>
        <v>9990008536Dilady Indústria e Comercio de0,01</v>
      </c>
      <c r="B320" t="s">
        <v>2247</v>
      </c>
      <c r="C320">
        <v>9990008536</v>
      </c>
      <c r="D320" s="2">
        <v>44722</v>
      </c>
      <c r="E320" t="s">
        <v>0</v>
      </c>
      <c r="F320" t="s">
        <v>1</v>
      </c>
      <c r="G320" t="s">
        <v>1786</v>
      </c>
      <c r="H320" t="s">
        <v>1787</v>
      </c>
      <c r="J320" s="3" t="s">
        <v>4</v>
      </c>
      <c r="K320" s="2">
        <v>44752</v>
      </c>
      <c r="L320" s="4">
        <v>0.01</v>
      </c>
      <c r="M320" t="s">
        <v>5</v>
      </c>
      <c r="N320" s="4">
        <v>0.01</v>
      </c>
      <c r="O320" t="s">
        <v>1788</v>
      </c>
      <c r="P320" s="4">
        <v>0.01</v>
      </c>
      <c r="Q320" s="5">
        <v>-10</v>
      </c>
      <c r="R320" t="s">
        <v>1789</v>
      </c>
      <c r="S320" t="s">
        <v>1790</v>
      </c>
      <c r="T320" t="s">
        <v>4</v>
      </c>
      <c r="U320" t="s">
        <v>1791</v>
      </c>
      <c r="V320" s="2">
        <v>44743</v>
      </c>
      <c r="W320" t="s">
        <v>10</v>
      </c>
    </row>
    <row r="321" spans="1:23" ht="14.1" customHeight="1" outlineLevel="2" x14ac:dyDescent="0.25">
      <c r="A321" t="str">
        <f t="shared" si="4"/>
        <v>9990008546WYETH INDÚSTRIA FARMACÊUTICA LTDA.104500</v>
      </c>
      <c r="B321" t="s">
        <v>2248</v>
      </c>
      <c r="C321">
        <v>9990008546</v>
      </c>
      <c r="D321" s="2">
        <v>44692</v>
      </c>
      <c r="E321" t="s">
        <v>0</v>
      </c>
      <c r="F321" t="s">
        <v>1</v>
      </c>
      <c r="G321" t="s">
        <v>1792</v>
      </c>
      <c r="H321" t="s">
        <v>1793</v>
      </c>
      <c r="J321" s="3" t="s">
        <v>4</v>
      </c>
      <c r="K321" s="2">
        <v>44834</v>
      </c>
      <c r="L321" s="4">
        <v>104500</v>
      </c>
      <c r="M321" t="s">
        <v>5</v>
      </c>
      <c r="N321" s="4">
        <v>104500</v>
      </c>
      <c r="O321" t="s">
        <v>1794</v>
      </c>
      <c r="P321" s="4">
        <v>94833.75</v>
      </c>
      <c r="Q321" s="5">
        <v>-92</v>
      </c>
      <c r="R321" t="s">
        <v>1795</v>
      </c>
      <c r="S321" t="s">
        <v>1796</v>
      </c>
      <c r="T321" t="s">
        <v>4</v>
      </c>
      <c r="U321" t="s">
        <v>1797</v>
      </c>
      <c r="V321" s="2">
        <v>44743</v>
      </c>
      <c r="W321" t="s">
        <v>10</v>
      </c>
    </row>
    <row r="322" spans="1:23" ht="14.1" customHeight="1" outlineLevel="2" x14ac:dyDescent="0.25">
      <c r="A322" t="str">
        <f t="shared" si="4"/>
        <v>9990008546WYETH INDÚSTRIA FARMACÊUTICA LTDA.111999,98</v>
      </c>
      <c r="B322" t="s">
        <v>2249</v>
      </c>
      <c r="C322">
        <v>9990008546</v>
      </c>
      <c r="D322" s="2">
        <v>44722</v>
      </c>
      <c r="E322" t="s">
        <v>0</v>
      </c>
      <c r="F322" t="s">
        <v>1</v>
      </c>
      <c r="G322" t="s">
        <v>1798</v>
      </c>
      <c r="H322" t="s">
        <v>1793</v>
      </c>
      <c r="J322" s="3" t="s">
        <v>4</v>
      </c>
      <c r="K322" s="2">
        <v>44834</v>
      </c>
      <c r="L322" s="4">
        <v>111999.98</v>
      </c>
      <c r="M322" t="s">
        <v>5</v>
      </c>
      <c r="N322" s="4">
        <v>111999.98</v>
      </c>
      <c r="O322" t="s">
        <v>1799</v>
      </c>
      <c r="P322" s="4">
        <v>101639.98</v>
      </c>
      <c r="Q322" s="5">
        <v>-92</v>
      </c>
      <c r="R322" t="s">
        <v>1800</v>
      </c>
      <c r="S322" t="s">
        <v>1801</v>
      </c>
      <c r="T322" t="s">
        <v>4</v>
      </c>
      <c r="U322" t="s">
        <v>1802</v>
      </c>
      <c r="V322" s="2">
        <v>44743</v>
      </c>
      <c r="W322" t="s">
        <v>10</v>
      </c>
    </row>
    <row r="323" spans="1:23" ht="14.1" customHeight="1" outlineLevel="2" x14ac:dyDescent="0.25">
      <c r="A323" t="str">
        <f t="shared" ref="A323:A345" si="5">+C323&amp;H323&amp;L323</f>
        <v>9990008547BOTICARIO PRODUTOS DE BELEZA LTDA125733</v>
      </c>
      <c r="B323" t="s">
        <v>2250</v>
      </c>
      <c r="C323">
        <v>9990008547</v>
      </c>
      <c r="D323" s="2">
        <v>44722</v>
      </c>
      <c r="E323" t="s">
        <v>0</v>
      </c>
      <c r="F323" t="s">
        <v>1</v>
      </c>
      <c r="G323" t="s">
        <v>1803</v>
      </c>
      <c r="H323" t="s">
        <v>1804</v>
      </c>
      <c r="J323" s="3" t="s">
        <v>4</v>
      </c>
      <c r="K323" s="2">
        <v>44752</v>
      </c>
      <c r="L323" s="4">
        <v>125733</v>
      </c>
      <c r="M323" t="s">
        <v>5</v>
      </c>
      <c r="N323" s="4">
        <v>125733</v>
      </c>
      <c r="O323" t="s">
        <v>1805</v>
      </c>
      <c r="P323" s="4">
        <v>114102.7</v>
      </c>
      <c r="Q323" s="5">
        <v>-10</v>
      </c>
      <c r="R323" t="s">
        <v>1806</v>
      </c>
      <c r="S323" t="s">
        <v>1807</v>
      </c>
      <c r="T323" t="s">
        <v>4</v>
      </c>
      <c r="U323" t="s">
        <v>1808</v>
      </c>
      <c r="V323" s="2">
        <v>44743</v>
      </c>
      <c r="W323" t="s">
        <v>10</v>
      </c>
    </row>
    <row r="324" spans="1:23" ht="14.1" customHeight="1" outlineLevel="2" x14ac:dyDescent="0.25">
      <c r="A324" t="str">
        <f t="shared" si="5"/>
        <v>9990008547BOTICARIO PRODUTOS DE BELEZA LTDA72827</v>
      </c>
      <c r="B324" t="s">
        <v>2251</v>
      </c>
      <c r="C324">
        <v>9990008547</v>
      </c>
      <c r="D324" s="2">
        <v>44692</v>
      </c>
      <c r="E324" t="s">
        <v>0</v>
      </c>
      <c r="F324" t="s">
        <v>1</v>
      </c>
      <c r="G324" t="s">
        <v>1809</v>
      </c>
      <c r="H324" t="s">
        <v>1804</v>
      </c>
      <c r="J324" s="3" t="s">
        <v>4</v>
      </c>
      <c r="K324" s="2">
        <v>44752</v>
      </c>
      <c r="L324" s="4">
        <v>72827</v>
      </c>
      <c r="M324" t="s">
        <v>5</v>
      </c>
      <c r="N324" s="4">
        <v>72827</v>
      </c>
      <c r="O324" t="s">
        <v>1810</v>
      </c>
      <c r="P324" s="4">
        <v>66090.5</v>
      </c>
      <c r="Q324" s="5">
        <v>-10</v>
      </c>
      <c r="R324" t="s">
        <v>1811</v>
      </c>
      <c r="S324" t="s">
        <v>1812</v>
      </c>
      <c r="T324" t="s">
        <v>4</v>
      </c>
      <c r="U324" t="s">
        <v>1813</v>
      </c>
      <c r="V324" s="2">
        <v>44743</v>
      </c>
      <c r="W324" t="s">
        <v>10</v>
      </c>
    </row>
    <row r="325" spans="1:23" ht="14.1" customHeight="1" outlineLevel="2" x14ac:dyDescent="0.25">
      <c r="A325" t="str">
        <f t="shared" si="5"/>
        <v>9990008547BOTICARIO PRODUTOS DE BELEZA LTDA109923</v>
      </c>
      <c r="B325" t="s">
        <v>2252</v>
      </c>
      <c r="C325">
        <v>9990008547</v>
      </c>
      <c r="D325" s="2">
        <v>44692</v>
      </c>
      <c r="E325" t="s">
        <v>0</v>
      </c>
      <c r="F325" t="s">
        <v>1</v>
      </c>
      <c r="G325" t="s">
        <v>1814</v>
      </c>
      <c r="H325" t="s">
        <v>1804</v>
      </c>
      <c r="J325" s="3" t="s">
        <v>4</v>
      </c>
      <c r="K325" s="2">
        <v>44752</v>
      </c>
      <c r="L325" s="4">
        <v>109923</v>
      </c>
      <c r="M325" t="s">
        <v>5</v>
      </c>
      <c r="N325" s="4">
        <v>109923</v>
      </c>
      <c r="O325" t="s">
        <v>1815</v>
      </c>
      <c r="P325" s="4">
        <v>99755.12</v>
      </c>
      <c r="Q325" s="5">
        <v>-10</v>
      </c>
      <c r="R325" t="s">
        <v>1816</v>
      </c>
      <c r="S325" t="s">
        <v>1817</v>
      </c>
      <c r="T325" t="s">
        <v>4</v>
      </c>
      <c r="U325" t="s">
        <v>1818</v>
      </c>
      <c r="V325" s="2">
        <v>44743</v>
      </c>
      <c r="W325" t="s">
        <v>10</v>
      </c>
    </row>
    <row r="326" spans="1:23" ht="14.1" customHeight="1" outlineLevel="2" x14ac:dyDescent="0.25">
      <c r="A326" t="str">
        <f t="shared" si="5"/>
        <v>9990008577BETTER DRINKS DISTRIBUIDOR E ATACAD720,96</v>
      </c>
      <c r="B326" t="s">
        <v>2253</v>
      </c>
      <c r="C326">
        <v>9990008577</v>
      </c>
      <c r="D326" s="2">
        <v>44722</v>
      </c>
      <c r="E326" t="s">
        <v>0</v>
      </c>
      <c r="F326" t="s">
        <v>1</v>
      </c>
      <c r="G326" t="s">
        <v>1819</v>
      </c>
      <c r="H326" t="s">
        <v>1820</v>
      </c>
      <c r="J326" s="3" t="s">
        <v>4</v>
      </c>
      <c r="K326" s="2">
        <v>44752</v>
      </c>
      <c r="L326" s="4">
        <v>720.96</v>
      </c>
      <c r="M326" t="s">
        <v>5</v>
      </c>
      <c r="N326" s="4">
        <v>720.96</v>
      </c>
      <c r="O326" t="s">
        <v>1821</v>
      </c>
      <c r="P326" s="4">
        <v>654.27</v>
      </c>
      <c r="Q326" s="5">
        <v>-10</v>
      </c>
      <c r="R326" t="s">
        <v>1822</v>
      </c>
      <c r="S326" t="s">
        <v>1823</v>
      </c>
      <c r="T326" t="s">
        <v>4</v>
      </c>
      <c r="U326" t="s">
        <v>1824</v>
      </c>
      <c r="V326" s="2">
        <v>44743</v>
      </c>
      <c r="W326" t="s">
        <v>10</v>
      </c>
    </row>
    <row r="327" spans="1:23" ht="14.1" customHeight="1" outlineLevel="2" x14ac:dyDescent="0.25">
      <c r="A327" t="str">
        <f t="shared" si="5"/>
        <v>9990008653NBCUNIVERSAL NETWORKS INTERNATIONAL14532,66</v>
      </c>
      <c r="B327" t="s">
        <v>2254</v>
      </c>
      <c r="C327">
        <v>9990008653</v>
      </c>
      <c r="D327" s="2">
        <v>44722</v>
      </c>
      <c r="E327" t="s">
        <v>0</v>
      </c>
      <c r="F327" t="s">
        <v>1</v>
      </c>
      <c r="G327" t="s">
        <v>1825</v>
      </c>
      <c r="H327" t="s">
        <v>1826</v>
      </c>
      <c r="J327" s="3" t="s">
        <v>4</v>
      </c>
      <c r="K327" s="2">
        <v>44752</v>
      </c>
      <c r="L327" s="4">
        <v>14532.66</v>
      </c>
      <c r="M327" t="s">
        <v>5</v>
      </c>
      <c r="N327" s="4">
        <v>14532.66</v>
      </c>
      <c r="O327" t="s">
        <v>1827</v>
      </c>
      <c r="P327" s="4">
        <v>13188.39</v>
      </c>
      <c r="Q327" s="5">
        <v>-10</v>
      </c>
      <c r="R327" t="s">
        <v>1828</v>
      </c>
      <c r="S327" t="s">
        <v>1829</v>
      </c>
      <c r="T327" t="s">
        <v>4</v>
      </c>
      <c r="U327" t="s">
        <v>1830</v>
      </c>
      <c r="V327" s="2">
        <v>44743</v>
      </c>
      <c r="W327" t="s">
        <v>10</v>
      </c>
    </row>
    <row r="328" spans="1:23" ht="14.1" customHeight="1" outlineLevel="2" x14ac:dyDescent="0.25">
      <c r="A328" t="str">
        <f t="shared" si="5"/>
        <v>9990050631HYUNDAI MOTOR BRASIL MONTADORA.131357</v>
      </c>
      <c r="B328" t="s">
        <v>2255</v>
      </c>
      <c r="C328">
        <v>9990050631</v>
      </c>
      <c r="D328" s="2">
        <v>44722</v>
      </c>
      <c r="E328" t="s">
        <v>0</v>
      </c>
      <c r="F328" t="s">
        <v>1</v>
      </c>
      <c r="G328" t="s">
        <v>1831</v>
      </c>
      <c r="H328" t="s">
        <v>1832</v>
      </c>
      <c r="J328" s="3" t="s">
        <v>4</v>
      </c>
      <c r="K328" s="2">
        <v>44752</v>
      </c>
      <c r="L328" s="4">
        <v>131357</v>
      </c>
      <c r="M328" t="s">
        <v>5</v>
      </c>
      <c r="N328" s="4">
        <v>131357</v>
      </c>
      <c r="O328" t="s">
        <v>1833</v>
      </c>
      <c r="P328" s="4">
        <v>119206.47</v>
      </c>
      <c r="Q328" s="5">
        <v>-10</v>
      </c>
      <c r="R328" t="s">
        <v>1834</v>
      </c>
      <c r="S328" t="s">
        <v>1835</v>
      </c>
      <c r="T328" t="s">
        <v>26</v>
      </c>
      <c r="U328" t="s">
        <v>1836</v>
      </c>
      <c r="V328" s="2">
        <v>44743</v>
      </c>
      <c r="W328" t="s">
        <v>10</v>
      </c>
    </row>
    <row r="329" spans="1:23" ht="14.1" customHeight="1" outlineLevel="2" x14ac:dyDescent="0.25">
      <c r="A329" t="str">
        <f t="shared" si="5"/>
        <v>9990050983AMBEV S.A17670,44</v>
      </c>
      <c r="B329" t="s">
        <v>2256</v>
      </c>
      <c r="C329">
        <v>9990050983</v>
      </c>
      <c r="D329" s="2">
        <v>44722</v>
      </c>
      <c r="E329" t="s">
        <v>0</v>
      </c>
      <c r="F329" t="s">
        <v>1</v>
      </c>
      <c r="G329" t="s">
        <v>1837</v>
      </c>
      <c r="H329" t="s">
        <v>878</v>
      </c>
      <c r="J329" s="3" t="s">
        <v>4</v>
      </c>
      <c r="K329" s="2">
        <v>44752</v>
      </c>
      <c r="L329" s="4">
        <v>17670.439999999999</v>
      </c>
      <c r="M329" t="s">
        <v>5</v>
      </c>
      <c r="N329" s="4">
        <v>17670.439999999999</v>
      </c>
      <c r="O329" t="s">
        <v>1838</v>
      </c>
      <c r="P329" s="4">
        <v>16035.92</v>
      </c>
      <c r="Q329" s="5">
        <v>-10</v>
      </c>
      <c r="R329" t="s">
        <v>1839</v>
      </c>
      <c r="S329" t="s">
        <v>1840</v>
      </c>
      <c r="T329" t="s">
        <v>1841</v>
      </c>
      <c r="U329" t="s">
        <v>1842</v>
      </c>
      <c r="V329" s="2">
        <v>44743</v>
      </c>
      <c r="W329" t="s">
        <v>10</v>
      </c>
    </row>
    <row r="330" spans="1:23" ht="14.1" customHeight="1" outlineLevel="2" x14ac:dyDescent="0.25">
      <c r="A330" t="str">
        <f t="shared" si="5"/>
        <v>9990051092DELL COMPUTADORES DO BRASIL LTDA32542,99</v>
      </c>
      <c r="B330" t="s">
        <v>2257</v>
      </c>
      <c r="C330">
        <v>9990051092</v>
      </c>
      <c r="D330" s="2">
        <v>44701</v>
      </c>
      <c r="E330" t="s">
        <v>0</v>
      </c>
      <c r="F330" t="s">
        <v>1</v>
      </c>
      <c r="G330" t="s">
        <v>1843</v>
      </c>
      <c r="H330" t="s">
        <v>1844</v>
      </c>
      <c r="J330" s="3" t="s">
        <v>4</v>
      </c>
      <c r="K330" s="2">
        <v>44761</v>
      </c>
      <c r="L330" s="4">
        <v>32542.99</v>
      </c>
      <c r="M330" t="s">
        <v>5</v>
      </c>
      <c r="N330" s="4">
        <v>32542.99</v>
      </c>
      <c r="O330" t="s">
        <v>1845</v>
      </c>
      <c r="P330" s="4">
        <v>29532.76</v>
      </c>
      <c r="Q330" s="5">
        <v>-19</v>
      </c>
      <c r="R330" t="s">
        <v>1846</v>
      </c>
      <c r="S330" t="s">
        <v>1847</v>
      </c>
      <c r="T330" t="s">
        <v>4</v>
      </c>
      <c r="U330" t="s">
        <v>1848</v>
      </c>
      <c r="V330" s="2">
        <v>44743</v>
      </c>
      <c r="W330" t="s">
        <v>10</v>
      </c>
    </row>
    <row r="331" spans="1:23" ht="14.1" customHeight="1" outlineLevel="2" x14ac:dyDescent="0.25">
      <c r="A331" t="str">
        <f t="shared" si="5"/>
        <v>9990051092DELL COMPUTADORES DO BRASIL LTDA50163,37</v>
      </c>
      <c r="B331" t="s">
        <v>2258</v>
      </c>
      <c r="C331">
        <v>9990051092</v>
      </c>
      <c r="D331" s="2">
        <v>44722</v>
      </c>
      <c r="E331" t="s">
        <v>0</v>
      </c>
      <c r="F331" t="s">
        <v>1</v>
      </c>
      <c r="G331" t="s">
        <v>1849</v>
      </c>
      <c r="H331" t="s">
        <v>1844</v>
      </c>
      <c r="J331" s="3" t="s">
        <v>4</v>
      </c>
      <c r="K331" s="2">
        <v>44782</v>
      </c>
      <c r="L331" s="4">
        <v>50163.37</v>
      </c>
      <c r="M331" t="s">
        <v>5</v>
      </c>
      <c r="N331" s="4">
        <v>50163.37</v>
      </c>
      <c r="O331" t="s">
        <v>1850</v>
      </c>
      <c r="P331" s="4">
        <v>45523.25</v>
      </c>
      <c r="Q331" s="5">
        <v>-40</v>
      </c>
      <c r="R331" t="s">
        <v>1851</v>
      </c>
      <c r="S331" t="s">
        <v>1852</v>
      </c>
      <c r="T331" t="s">
        <v>4</v>
      </c>
      <c r="U331" t="s">
        <v>1853</v>
      </c>
      <c r="V331" s="2">
        <v>44743</v>
      </c>
      <c r="W331" t="s">
        <v>10</v>
      </c>
    </row>
    <row r="332" spans="1:23" ht="14.1" customHeight="1" outlineLevel="2" x14ac:dyDescent="0.25">
      <c r="A332" t="str">
        <f t="shared" si="5"/>
        <v>9990051092DELL COMPUTADORES DO BRASIL LTDA31672,56</v>
      </c>
      <c r="B332" t="s">
        <v>2259</v>
      </c>
      <c r="C332">
        <v>9990051092</v>
      </c>
      <c r="D332" s="2">
        <v>44727</v>
      </c>
      <c r="E332" t="s">
        <v>0</v>
      </c>
      <c r="F332" t="s">
        <v>1</v>
      </c>
      <c r="G332" t="s">
        <v>1854</v>
      </c>
      <c r="H332" t="s">
        <v>1844</v>
      </c>
      <c r="J332" s="3" t="s">
        <v>4</v>
      </c>
      <c r="K332" s="2">
        <v>44787</v>
      </c>
      <c r="L332" s="4">
        <v>31672.560000000001</v>
      </c>
      <c r="M332" t="s">
        <v>5</v>
      </c>
      <c r="N332" s="4">
        <v>31672.560000000001</v>
      </c>
      <c r="O332" t="s">
        <v>1855</v>
      </c>
      <c r="P332" s="4">
        <v>28742.84</v>
      </c>
      <c r="Q332" s="5">
        <v>-45</v>
      </c>
      <c r="R332" t="s">
        <v>1856</v>
      </c>
      <c r="S332" t="s">
        <v>1857</v>
      </c>
      <c r="T332" t="s">
        <v>4</v>
      </c>
      <c r="U332" t="s">
        <v>1858</v>
      </c>
      <c r="V332" s="2">
        <v>44743</v>
      </c>
      <c r="W332" t="s">
        <v>10</v>
      </c>
    </row>
    <row r="333" spans="1:23" ht="14.1" customHeight="1" outlineLevel="2" x14ac:dyDescent="0.25">
      <c r="A333" t="str">
        <f t="shared" si="5"/>
        <v>9990051092DELL COMPUTADORES DO BRASIL LTDA152385,01</v>
      </c>
      <c r="B333" t="s">
        <v>2260</v>
      </c>
      <c r="C333">
        <v>9990051092</v>
      </c>
      <c r="D333" s="2">
        <v>44602</v>
      </c>
      <c r="E333" t="s">
        <v>0</v>
      </c>
      <c r="F333" t="s">
        <v>1</v>
      </c>
      <c r="G333" t="s">
        <v>1859</v>
      </c>
      <c r="H333" t="s">
        <v>1844</v>
      </c>
      <c r="J333" s="3" t="s">
        <v>4</v>
      </c>
      <c r="K333" s="2">
        <v>44748</v>
      </c>
      <c r="L333" s="4">
        <v>152385.01</v>
      </c>
      <c r="M333" t="s">
        <v>5</v>
      </c>
      <c r="N333" s="4">
        <v>152385.01</v>
      </c>
      <c r="O333" t="s">
        <v>1860</v>
      </c>
      <c r="P333" s="4">
        <v>138289.4</v>
      </c>
      <c r="Q333" s="5">
        <v>-6</v>
      </c>
      <c r="R333" t="s">
        <v>1861</v>
      </c>
      <c r="S333" t="s">
        <v>1862</v>
      </c>
      <c r="T333" t="s">
        <v>38</v>
      </c>
      <c r="U333" t="s">
        <v>1863</v>
      </c>
      <c r="V333" s="2">
        <v>44743</v>
      </c>
      <c r="W333" t="s">
        <v>10</v>
      </c>
    </row>
    <row r="334" spans="1:23" ht="14.1" customHeight="1" outlineLevel="2" x14ac:dyDescent="0.25">
      <c r="A334" t="str">
        <f t="shared" si="5"/>
        <v>9990051130POLIMPORT COMERCIO E EXPORTAÇÃO75876,67</v>
      </c>
      <c r="B334" t="s">
        <v>2261</v>
      </c>
      <c r="C334">
        <v>9990051130</v>
      </c>
      <c r="D334" s="2">
        <v>44722</v>
      </c>
      <c r="E334" t="s">
        <v>0</v>
      </c>
      <c r="F334" t="s">
        <v>1</v>
      </c>
      <c r="G334" t="s">
        <v>1864</v>
      </c>
      <c r="H334" t="s">
        <v>3</v>
      </c>
      <c r="J334" s="3" t="s">
        <v>4</v>
      </c>
      <c r="K334" s="2">
        <v>44752</v>
      </c>
      <c r="L334" s="4">
        <v>75876.67</v>
      </c>
      <c r="M334" t="s">
        <v>5</v>
      </c>
      <c r="N334" s="4">
        <v>75876.67</v>
      </c>
      <c r="O334" t="s">
        <v>1865</v>
      </c>
      <c r="P334" s="4">
        <v>68858.070000000007</v>
      </c>
      <c r="Q334" s="5">
        <v>-10</v>
      </c>
      <c r="R334" t="s">
        <v>1866</v>
      </c>
      <c r="S334" t="s">
        <v>1867</v>
      </c>
      <c r="T334" t="s">
        <v>4</v>
      </c>
      <c r="U334" t="s">
        <v>1868</v>
      </c>
      <c r="V334" s="2">
        <v>44743</v>
      </c>
      <c r="W334" t="s">
        <v>10</v>
      </c>
    </row>
    <row r="335" spans="1:23" ht="14.1" customHeight="1" outlineLevel="2" x14ac:dyDescent="0.25">
      <c r="A335" t="str">
        <f t="shared" si="5"/>
        <v>9990051130POLIMPORT COMERCIO E EXPORTAÇÃO59987,3</v>
      </c>
      <c r="B335" t="s">
        <v>2262</v>
      </c>
      <c r="C335">
        <v>9990051130</v>
      </c>
      <c r="D335" s="2">
        <v>44722</v>
      </c>
      <c r="E335" t="s">
        <v>0</v>
      </c>
      <c r="F335" t="s">
        <v>1</v>
      </c>
      <c r="G335" t="s">
        <v>1869</v>
      </c>
      <c r="H335" t="s">
        <v>3</v>
      </c>
      <c r="J335" s="3" t="s">
        <v>4</v>
      </c>
      <c r="K335" s="2">
        <v>44752</v>
      </c>
      <c r="L335" s="4">
        <v>59987.3</v>
      </c>
      <c r="M335" t="s">
        <v>5</v>
      </c>
      <c r="N335" s="4">
        <v>59987.3</v>
      </c>
      <c r="O335" t="s">
        <v>1870</v>
      </c>
      <c r="P335" s="4">
        <v>54438.47</v>
      </c>
      <c r="Q335" s="5">
        <v>-10</v>
      </c>
      <c r="R335" t="s">
        <v>1871</v>
      </c>
      <c r="S335" t="s">
        <v>1872</v>
      </c>
      <c r="T335" t="s">
        <v>4</v>
      </c>
      <c r="U335" t="s">
        <v>1873</v>
      </c>
      <c r="V335" s="2">
        <v>44743</v>
      </c>
      <c r="W335" t="s">
        <v>10</v>
      </c>
    </row>
    <row r="336" spans="1:23" ht="14.1" customHeight="1" outlineLevel="2" x14ac:dyDescent="0.25">
      <c r="A336" t="str">
        <f t="shared" si="5"/>
        <v>9990051206ROBERT BOSCH LIMITADA15000</v>
      </c>
      <c r="B336" t="s">
        <v>2263</v>
      </c>
      <c r="C336">
        <v>9990051206</v>
      </c>
      <c r="D336" s="2">
        <v>44692</v>
      </c>
      <c r="E336" t="s">
        <v>0</v>
      </c>
      <c r="F336" t="s">
        <v>1</v>
      </c>
      <c r="G336" t="s">
        <v>1874</v>
      </c>
      <c r="H336" t="s">
        <v>898</v>
      </c>
      <c r="J336" s="3" t="s">
        <v>4</v>
      </c>
      <c r="K336" s="2">
        <v>44752</v>
      </c>
      <c r="L336" s="4">
        <v>15000</v>
      </c>
      <c r="M336" t="s">
        <v>5</v>
      </c>
      <c r="N336" s="4">
        <v>15000</v>
      </c>
      <c r="O336" t="s">
        <v>1875</v>
      </c>
      <c r="P336" s="4">
        <v>13612.5</v>
      </c>
      <c r="Q336" s="5">
        <v>-10</v>
      </c>
      <c r="R336" t="s">
        <v>1876</v>
      </c>
      <c r="S336" t="s">
        <v>1877</v>
      </c>
      <c r="T336" t="s">
        <v>1878</v>
      </c>
      <c r="U336" t="s">
        <v>1879</v>
      </c>
      <c r="V336" s="2">
        <v>44743</v>
      </c>
      <c r="W336" t="s">
        <v>10</v>
      </c>
    </row>
    <row r="337" spans="1:23" ht="14.1" customHeight="1" outlineLevel="2" x14ac:dyDescent="0.25">
      <c r="A337" t="str">
        <f t="shared" si="5"/>
        <v>9990051206ROBERT BOSCH LIMITADA10208,5</v>
      </c>
      <c r="B337" t="s">
        <v>2264</v>
      </c>
      <c r="C337">
        <v>9990051206</v>
      </c>
      <c r="D337" s="2">
        <v>44692</v>
      </c>
      <c r="E337" t="s">
        <v>0</v>
      </c>
      <c r="F337" t="s">
        <v>1</v>
      </c>
      <c r="G337" t="s">
        <v>1880</v>
      </c>
      <c r="H337" t="s">
        <v>898</v>
      </c>
      <c r="J337" s="3" t="s">
        <v>4</v>
      </c>
      <c r="K337" s="2">
        <v>44752</v>
      </c>
      <c r="L337" s="4">
        <v>10208.5</v>
      </c>
      <c r="M337" t="s">
        <v>5</v>
      </c>
      <c r="N337" s="4">
        <v>10208.5</v>
      </c>
      <c r="O337" t="s">
        <v>1881</v>
      </c>
      <c r="P337" s="4">
        <v>9264.2099999999991</v>
      </c>
      <c r="Q337" s="5">
        <v>-10</v>
      </c>
      <c r="R337" t="s">
        <v>1882</v>
      </c>
      <c r="S337" t="s">
        <v>1883</v>
      </c>
      <c r="T337" t="s">
        <v>1878</v>
      </c>
      <c r="U337" t="s">
        <v>1884</v>
      </c>
      <c r="V337" s="2">
        <v>44743</v>
      </c>
      <c r="W337" t="s">
        <v>10</v>
      </c>
    </row>
    <row r="338" spans="1:23" ht="14.1" customHeight="1" outlineLevel="2" x14ac:dyDescent="0.25">
      <c r="A338" t="str">
        <f t="shared" si="5"/>
        <v>9990051206ROBERT BOSCH LIMITADA8522,71</v>
      </c>
      <c r="B338" t="s">
        <v>2265</v>
      </c>
      <c r="C338">
        <v>9990051206</v>
      </c>
      <c r="D338" s="2">
        <v>44722</v>
      </c>
      <c r="E338" t="s">
        <v>0</v>
      </c>
      <c r="F338" t="s">
        <v>1</v>
      </c>
      <c r="G338" t="s">
        <v>1885</v>
      </c>
      <c r="H338" t="s">
        <v>898</v>
      </c>
      <c r="J338" s="3" t="s">
        <v>4</v>
      </c>
      <c r="K338" s="2">
        <v>44782</v>
      </c>
      <c r="L338" s="4">
        <v>8522.7099999999991</v>
      </c>
      <c r="M338" t="s">
        <v>5</v>
      </c>
      <c r="N338" s="4">
        <v>8522.7099999999991</v>
      </c>
      <c r="O338" t="s">
        <v>1886</v>
      </c>
      <c r="P338" s="4">
        <v>7734.35</v>
      </c>
      <c r="Q338" s="5">
        <v>-40</v>
      </c>
      <c r="R338" t="s">
        <v>1887</v>
      </c>
      <c r="S338" t="s">
        <v>1888</v>
      </c>
      <c r="T338" t="s">
        <v>1878</v>
      </c>
      <c r="U338" t="s">
        <v>1889</v>
      </c>
      <c r="V338" s="2">
        <v>44743</v>
      </c>
      <c r="W338" t="s">
        <v>10</v>
      </c>
    </row>
    <row r="339" spans="1:23" ht="14.1" customHeight="1" outlineLevel="2" x14ac:dyDescent="0.25">
      <c r="A339" t="str">
        <f t="shared" si="5"/>
        <v>9990051206ROBERT BOSCH LIMITADA8325</v>
      </c>
      <c r="B339" t="s">
        <v>2266</v>
      </c>
      <c r="C339">
        <v>9990051206</v>
      </c>
      <c r="D339" s="2">
        <v>44722</v>
      </c>
      <c r="E339" t="s">
        <v>0</v>
      </c>
      <c r="F339" t="s">
        <v>1</v>
      </c>
      <c r="G339" t="s">
        <v>1890</v>
      </c>
      <c r="H339" t="s">
        <v>898</v>
      </c>
      <c r="J339" s="3" t="s">
        <v>4</v>
      </c>
      <c r="K339" s="2">
        <v>44782</v>
      </c>
      <c r="L339" s="4">
        <v>8325</v>
      </c>
      <c r="M339" t="s">
        <v>5</v>
      </c>
      <c r="N339" s="4">
        <v>8325</v>
      </c>
      <c r="O339" t="s">
        <v>1891</v>
      </c>
      <c r="P339" s="4">
        <v>7554.94</v>
      </c>
      <c r="Q339" s="5">
        <v>-40</v>
      </c>
      <c r="R339" t="s">
        <v>1892</v>
      </c>
      <c r="S339" t="s">
        <v>1893</v>
      </c>
      <c r="T339" t="s">
        <v>1878</v>
      </c>
      <c r="U339" t="s">
        <v>1894</v>
      </c>
      <c r="V339" s="2">
        <v>44743</v>
      </c>
      <c r="W339" t="s">
        <v>10</v>
      </c>
    </row>
    <row r="340" spans="1:23" ht="14.1" customHeight="1" outlineLevel="2" x14ac:dyDescent="0.25">
      <c r="A340" t="str">
        <f t="shared" si="5"/>
        <v>9990051206ROBERT BOSCH LIMITADA9594,65</v>
      </c>
      <c r="B340" t="s">
        <v>2267</v>
      </c>
      <c r="C340">
        <v>9990051206</v>
      </c>
      <c r="D340" s="2">
        <v>44692</v>
      </c>
      <c r="E340" t="s">
        <v>0</v>
      </c>
      <c r="F340" t="s">
        <v>1</v>
      </c>
      <c r="G340" t="s">
        <v>1895</v>
      </c>
      <c r="H340" t="s">
        <v>898</v>
      </c>
      <c r="J340" s="3" t="s">
        <v>4</v>
      </c>
      <c r="K340" s="2">
        <v>44752</v>
      </c>
      <c r="L340" s="4">
        <v>9594.65</v>
      </c>
      <c r="M340" t="s">
        <v>5</v>
      </c>
      <c r="N340" s="4">
        <v>9594.65</v>
      </c>
      <c r="O340" t="s">
        <v>1896</v>
      </c>
      <c r="P340" s="4">
        <v>8707.14</v>
      </c>
      <c r="Q340" s="5">
        <v>-10</v>
      </c>
      <c r="R340" t="s">
        <v>1897</v>
      </c>
      <c r="S340" t="s">
        <v>1898</v>
      </c>
      <c r="T340" t="s">
        <v>1878</v>
      </c>
      <c r="U340" t="s">
        <v>1899</v>
      </c>
      <c r="V340" s="2">
        <v>44743</v>
      </c>
      <c r="W340" t="s">
        <v>10</v>
      </c>
    </row>
    <row r="341" spans="1:23" ht="14.1" customHeight="1" outlineLevel="2" x14ac:dyDescent="0.25">
      <c r="A341" t="str">
        <f t="shared" si="5"/>
        <v>9990051206ROBERT BOSCH LIMITADA18575</v>
      </c>
      <c r="B341" t="s">
        <v>2268</v>
      </c>
      <c r="C341">
        <v>9990051206</v>
      </c>
      <c r="D341" s="2">
        <v>44722</v>
      </c>
      <c r="E341" t="s">
        <v>0</v>
      </c>
      <c r="F341" t="s">
        <v>1</v>
      </c>
      <c r="G341" t="s">
        <v>1900</v>
      </c>
      <c r="H341" t="s">
        <v>898</v>
      </c>
      <c r="J341" s="3" t="s">
        <v>4</v>
      </c>
      <c r="K341" s="2">
        <v>44782</v>
      </c>
      <c r="L341" s="4">
        <v>18575</v>
      </c>
      <c r="M341" t="s">
        <v>5</v>
      </c>
      <c r="N341" s="4">
        <v>18575</v>
      </c>
      <c r="O341" t="s">
        <v>1901</v>
      </c>
      <c r="P341" s="4">
        <v>16856.810000000001</v>
      </c>
      <c r="Q341" s="5">
        <v>-40</v>
      </c>
      <c r="R341" t="s">
        <v>1902</v>
      </c>
      <c r="S341" t="s">
        <v>1903</v>
      </c>
      <c r="T341" t="s">
        <v>1878</v>
      </c>
      <c r="U341" t="s">
        <v>1904</v>
      </c>
      <c r="V341" s="2">
        <v>44743</v>
      </c>
      <c r="W341" t="s">
        <v>10</v>
      </c>
    </row>
    <row r="342" spans="1:23" ht="14.1" customHeight="1" outlineLevel="2" x14ac:dyDescent="0.25">
      <c r="A342" t="str">
        <f t="shared" si="5"/>
        <v>9990051287WEBFONES COMERCIO DE ARTIGOS DE51492,07</v>
      </c>
      <c r="B342" t="s">
        <v>2269</v>
      </c>
      <c r="C342">
        <v>9990051287</v>
      </c>
      <c r="D342" s="2">
        <v>44722</v>
      </c>
      <c r="E342" t="s">
        <v>0</v>
      </c>
      <c r="F342" t="s">
        <v>1</v>
      </c>
      <c r="G342" t="s">
        <v>1905</v>
      </c>
      <c r="H342" t="s">
        <v>911</v>
      </c>
      <c r="J342" s="3" t="s">
        <v>4</v>
      </c>
      <c r="K342" s="2">
        <v>44752</v>
      </c>
      <c r="L342" s="4">
        <v>51492.07</v>
      </c>
      <c r="M342" t="s">
        <v>5</v>
      </c>
      <c r="N342" s="4">
        <v>51492.07</v>
      </c>
      <c r="O342" t="s">
        <v>1906</v>
      </c>
      <c r="P342" s="4">
        <v>46729.05</v>
      </c>
      <c r="Q342" s="5">
        <v>-10</v>
      </c>
      <c r="R342" t="s">
        <v>1907</v>
      </c>
      <c r="S342" t="s">
        <v>1908</v>
      </c>
      <c r="T342" t="s">
        <v>4</v>
      </c>
      <c r="U342" t="s">
        <v>1909</v>
      </c>
      <c r="V342" s="2">
        <v>44743</v>
      </c>
      <c r="W342" t="s">
        <v>10</v>
      </c>
    </row>
    <row r="343" spans="1:23" ht="14.1" customHeight="1" outlineLevel="2" x14ac:dyDescent="0.25">
      <c r="A343" t="str">
        <f t="shared" si="5"/>
        <v>9990051402FOREVER COMPANY COSMETICOS LTDA76250</v>
      </c>
      <c r="B343" t="s">
        <v>2270</v>
      </c>
      <c r="C343">
        <v>9990051402</v>
      </c>
      <c r="D343" s="2">
        <v>44482</v>
      </c>
      <c r="E343" t="s">
        <v>0</v>
      </c>
      <c r="F343" t="s">
        <v>1</v>
      </c>
      <c r="G343" t="s">
        <v>1910</v>
      </c>
      <c r="H343" t="s">
        <v>917</v>
      </c>
      <c r="J343" s="3" t="s">
        <v>4</v>
      </c>
      <c r="K343" s="2">
        <v>44804</v>
      </c>
      <c r="L343" s="4">
        <v>76250</v>
      </c>
      <c r="M343" t="s">
        <v>5</v>
      </c>
      <c r="N343" s="4">
        <v>76250</v>
      </c>
      <c r="O343" t="s">
        <v>1911</v>
      </c>
      <c r="P343" s="4">
        <v>69196.87</v>
      </c>
      <c r="Q343" s="5">
        <v>-62</v>
      </c>
      <c r="R343" t="s">
        <v>1912</v>
      </c>
      <c r="S343" t="s">
        <v>1913</v>
      </c>
      <c r="T343" t="s">
        <v>26</v>
      </c>
      <c r="U343" t="s">
        <v>1914</v>
      </c>
      <c r="V343" s="2">
        <v>44743</v>
      </c>
      <c r="W343" t="s">
        <v>10</v>
      </c>
    </row>
    <row r="344" spans="1:23" ht="14.1" customHeight="1" outlineLevel="2" x14ac:dyDescent="0.25">
      <c r="A344" t="str">
        <f t="shared" si="5"/>
        <v>9990051411RENAULT DO BRASIL S.A30000</v>
      </c>
      <c r="B344" t="s">
        <v>2271</v>
      </c>
      <c r="C344">
        <v>9990051411</v>
      </c>
      <c r="D344" s="2">
        <v>44722</v>
      </c>
      <c r="E344" t="s">
        <v>0</v>
      </c>
      <c r="F344" t="s">
        <v>1</v>
      </c>
      <c r="G344" t="s">
        <v>1915</v>
      </c>
      <c r="H344" t="s">
        <v>1916</v>
      </c>
      <c r="J344" s="3" t="s">
        <v>4</v>
      </c>
      <c r="K344" s="2">
        <v>44752</v>
      </c>
      <c r="L344" s="4">
        <v>30000</v>
      </c>
      <c r="M344" t="s">
        <v>5</v>
      </c>
      <c r="N344" s="4">
        <v>30000</v>
      </c>
      <c r="O344" t="s">
        <v>1917</v>
      </c>
      <c r="P344" s="4">
        <v>27225</v>
      </c>
      <c r="Q344" s="5">
        <v>-10</v>
      </c>
      <c r="R344" t="s">
        <v>1918</v>
      </c>
      <c r="S344" t="s">
        <v>1919</v>
      </c>
      <c r="T344" t="s">
        <v>1920</v>
      </c>
      <c r="U344" t="s">
        <v>1921</v>
      </c>
      <c r="V344" s="2">
        <v>44743</v>
      </c>
      <c r="W344" t="s">
        <v>10</v>
      </c>
    </row>
    <row r="345" spans="1:23" ht="14.1" customHeight="1" outlineLevel="2" x14ac:dyDescent="0.25">
      <c r="A345" t="str">
        <f t="shared" si="5"/>
        <v>9990051571AGP TECNOLOGIA EM INFORMATICA DO BR20000</v>
      </c>
      <c r="B345" t="s">
        <v>2272</v>
      </c>
      <c r="C345">
        <v>9990051571</v>
      </c>
      <c r="D345" s="2">
        <v>44722</v>
      </c>
      <c r="E345" t="s">
        <v>0</v>
      </c>
      <c r="F345" t="s">
        <v>1</v>
      </c>
      <c r="G345" t="s">
        <v>1922</v>
      </c>
      <c r="H345" t="s">
        <v>928</v>
      </c>
      <c r="J345" s="3" t="s">
        <v>4</v>
      </c>
      <c r="K345" s="2">
        <v>44752</v>
      </c>
      <c r="L345" s="4">
        <v>20000</v>
      </c>
      <c r="M345" t="s">
        <v>5</v>
      </c>
      <c r="N345" s="4">
        <v>20000</v>
      </c>
      <c r="O345" t="s">
        <v>1923</v>
      </c>
      <c r="P345" s="4">
        <v>18150</v>
      </c>
      <c r="Q345" s="5">
        <v>-10</v>
      </c>
      <c r="R345" t="s">
        <v>1924</v>
      </c>
      <c r="S345" t="s">
        <v>1925</v>
      </c>
      <c r="T345" t="s">
        <v>4</v>
      </c>
      <c r="U345" t="s">
        <v>1926</v>
      </c>
      <c r="V345" s="2">
        <v>44743</v>
      </c>
      <c r="W345" t="s">
        <v>10</v>
      </c>
    </row>
    <row r="346" spans="1:23" outlineLevel="1" x14ac:dyDescent="0.25">
      <c r="B346" s="6"/>
      <c r="C346" s="6"/>
      <c r="D346" s="7"/>
      <c r="E346" s="6" t="s">
        <v>4</v>
      </c>
      <c r="F346" s="6" t="s">
        <v>4</v>
      </c>
      <c r="G346" s="6" t="s">
        <v>4</v>
      </c>
      <c r="H346" s="6" t="s">
        <v>4</v>
      </c>
      <c r="I346" s="6"/>
      <c r="J346" s="8" t="s">
        <v>1927</v>
      </c>
      <c r="K346" s="7"/>
      <c r="L346" s="9">
        <v>10006836.560000001</v>
      </c>
      <c r="M346" s="6" t="s">
        <v>5</v>
      </c>
      <c r="N346" s="9">
        <v>9963616.5999999996</v>
      </c>
      <c r="O346" s="6" t="s">
        <v>4</v>
      </c>
      <c r="P346" s="10"/>
      <c r="Q346" s="10"/>
      <c r="R346" s="6" t="s">
        <v>4</v>
      </c>
      <c r="S346" s="6" t="s">
        <v>4</v>
      </c>
      <c r="T346" s="6" t="s">
        <v>4</v>
      </c>
      <c r="U346" s="6" t="s">
        <v>4</v>
      </c>
      <c r="V346" s="7"/>
      <c r="W346" s="6" t="s">
        <v>4</v>
      </c>
    </row>
    <row r="347" spans="1:23" outlineLevel="1" x14ac:dyDescent="0.25">
      <c r="B347" s="6"/>
      <c r="C347" s="6"/>
      <c r="D347" s="7"/>
      <c r="E347" s="6" t="s">
        <v>4</v>
      </c>
      <c r="F347" s="6" t="s">
        <v>4</v>
      </c>
      <c r="G347" s="6" t="s">
        <v>4</v>
      </c>
      <c r="H347" s="6" t="s">
        <v>4</v>
      </c>
      <c r="I347" s="6"/>
      <c r="J347" s="6" t="s">
        <v>4</v>
      </c>
      <c r="K347" s="7"/>
      <c r="L347" s="9">
        <v>-7649.55</v>
      </c>
      <c r="M347" s="6" t="s">
        <v>136</v>
      </c>
      <c r="N347" s="10"/>
      <c r="O347" s="6" t="s">
        <v>4</v>
      </c>
      <c r="P347" s="10"/>
      <c r="Q347" s="10"/>
      <c r="R347" s="6" t="s">
        <v>4</v>
      </c>
      <c r="S347" s="6" t="s">
        <v>4</v>
      </c>
      <c r="T347" s="6" t="s">
        <v>4</v>
      </c>
      <c r="U347" s="6" t="s">
        <v>4</v>
      </c>
      <c r="V347" s="7"/>
      <c r="W347" s="6" t="s">
        <v>4</v>
      </c>
    </row>
    <row r="348" spans="1:23" x14ac:dyDescent="0.25">
      <c r="B348" s="11"/>
      <c r="C348" s="11"/>
      <c r="D348" s="12"/>
      <c r="E348" s="11" t="s">
        <v>4</v>
      </c>
      <c r="F348" s="11" t="s">
        <v>4</v>
      </c>
      <c r="G348" s="11" t="s">
        <v>4</v>
      </c>
      <c r="H348" s="11" t="s">
        <v>4</v>
      </c>
      <c r="I348" s="11"/>
      <c r="J348" s="11" t="s">
        <v>4</v>
      </c>
      <c r="K348" s="12"/>
      <c r="L348" s="13">
        <v>15382499.310000001</v>
      </c>
      <c r="M348" s="11" t="s">
        <v>5</v>
      </c>
      <c r="N348" s="13">
        <v>15318391.74</v>
      </c>
      <c r="O348" s="11" t="s">
        <v>4</v>
      </c>
      <c r="P348" s="14"/>
      <c r="Q348" s="14"/>
      <c r="R348" s="11" t="s">
        <v>4</v>
      </c>
      <c r="S348" s="11" t="s">
        <v>4</v>
      </c>
      <c r="T348" s="11" t="s">
        <v>4</v>
      </c>
      <c r="U348" s="11" t="s">
        <v>4</v>
      </c>
      <c r="V348" s="12"/>
      <c r="W348" s="11" t="s">
        <v>4</v>
      </c>
    </row>
    <row r="349" spans="1:23" x14ac:dyDescent="0.25">
      <c r="B349" s="11"/>
      <c r="C349" s="11"/>
      <c r="D349" s="12"/>
      <c r="E349" s="11" t="s">
        <v>4</v>
      </c>
      <c r="F349" s="11" t="s">
        <v>4</v>
      </c>
      <c r="G349" s="11" t="s">
        <v>4</v>
      </c>
      <c r="H349" s="11" t="s">
        <v>4</v>
      </c>
      <c r="I349" s="11"/>
      <c r="J349" s="11" t="s">
        <v>4</v>
      </c>
      <c r="K349" s="12"/>
      <c r="L349" s="13">
        <v>-11764.2</v>
      </c>
      <c r="M349" s="11" t="s">
        <v>136</v>
      </c>
      <c r="N349" s="14"/>
      <c r="O349" s="11" t="s">
        <v>4</v>
      </c>
      <c r="P349" s="14"/>
      <c r="Q349" s="14"/>
      <c r="R349" s="11" t="s">
        <v>4</v>
      </c>
      <c r="S349" s="11" t="s">
        <v>4</v>
      </c>
      <c r="T349" s="11" t="s">
        <v>4</v>
      </c>
      <c r="U349" s="11" t="s">
        <v>4</v>
      </c>
      <c r="V349" s="12"/>
      <c r="W349" s="11" t="s">
        <v>4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Kevin Lechmann</cp:lastModifiedBy>
  <cp:revision>1</cp:revision>
  <dcterms:modified xsi:type="dcterms:W3CDTF">2022-09-12T15:46:59Z</dcterms:modified>
  <cp:category/>
</cp:coreProperties>
</file>